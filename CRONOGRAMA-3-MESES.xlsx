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ronograma" sheetId="2" state="visible" r:id="rId2"/>
    <sheet name="Tareas" sheetId="3" state="visible" r:id="rId3"/>
    <sheet name="Contenido" sheetId="4" state="visible" r:id="rId4"/>
    <sheet name="Ecosistema" sheetId="5" state="visible" r:id="rId5"/>
    <sheet name="Entrevistas" sheetId="6" state="visible" r:id="rId6"/>
    <sheet name="Talleres" sheetId="7" state="visible" r:id="rId7"/>
    <sheet name="Métricas" sheetId="8" state="visible" r:id="rId8"/>
    <sheet name="Presupuesto" sheetId="9" state="visible" r:id="rId9"/>
    <sheet name="Riesgos" sheetId="10" state="visible" r:id="rId10"/>
  </sheets>
  <definedNames>
    <definedName name="_xlnm._FilterDatabase" localSheetId="2" hidden="1">'Tareas'!$A$4:$K$52</definedName>
    <definedName name="_xlnm._FilterDatabase" localSheetId="3" hidden="1">'Contenido'!$A$4:$H$68</definedName>
  </definedNames>
  <calcPr calcId="124519" fullCalcOnLoad="1"/>
</workbook>
</file>

<file path=xl/styles.xml><?xml version="1.0" encoding="utf-8"?>
<styleSheet xmlns="http://schemas.openxmlformats.org/spreadsheetml/2006/main">
  <numFmts count="3">
    <numFmt numFmtId="164" formatCode="0.0"/>
    <numFmt numFmtId="165" formatCode="yyyy-mm-dd"/>
    <numFmt numFmtId="166" formatCode="d mmm"/>
  </numFmts>
  <fonts count="17">
    <font>
      <name val="Calibri"/>
      <family val="2"/>
      <color theme="1"/>
      <sz val="11"/>
      <scheme val="minor"/>
    </font>
    <font>
      <name val="Arial"/>
      <b val="1"/>
      <color rgb="00000000"/>
      <sz val="16"/>
    </font>
    <font>
      <name val="Arial"/>
      <i val="1"/>
      <color rgb="00595959"/>
      <sz val="10"/>
    </font>
    <font>
      <name val="Arial"/>
      <b val="1"/>
      <color rgb="00000000"/>
      <sz val="10"/>
    </font>
    <font>
      <name val="Arial"/>
      <color rgb="00000000"/>
      <sz val="10"/>
    </font>
    <font>
      <name val="Arial"/>
      <b val="1"/>
      <color rgb="00000000"/>
      <sz val="12"/>
    </font>
    <font>
      <name val="Arial"/>
      <b val="1"/>
      <color rgb="00008000"/>
      <sz val="10"/>
    </font>
    <font>
      <name val="Arial"/>
      <b val="1"/>
      <color rgb="000000FF"/>
      <sz val="10"/>
    </font>
    <font>
      <name val="Arial"/>
      <color rgb="00595959"/>
      <sz val="9"/>
    </font>
    <font>
      <name val="Arial"/>
      <b val="1"/>
      <color rgb="00FFFFFF"/>
      <sz val="10"/>
    </font>
    <font>
      <name val="Arial"/>
      <color rgb="000000FF"/>
      <sz val="10"/>
    </font>
    <font>
      <name val="Arial"/>
      <color rgb="00FFFFFF"/>
      <sz val="8"/>
    </font>
    <font>
      <name val="Arial"/>
      <color rgb="00008000"/>
      <sz val="10"/>
    </font>
    <font>
      <name val="Arial"/>
      <b val="1"/>
      <color rgb="00FFFFFF"/>
      <sz val="9"/>
    </font>
    <font>
      <name val="Arial"/>
      <i val="1"/>
      <color rgb="00595959"/>
      <sz val="9"/>
    </font>
    <font>
      <name val="Arial"/>
      <b val="1"/>
      <color rgb="00000000"/>
      <sz val="11"/>
    </font>
    <font>
      <name val="Arial"/>
      <i val="1"/>
      <color rgb="007F7F7F"/>
      <sz val="10"/>
    </font>
  </fonts>
  <fills count="6">
    <fill>
      <patternFill/>
    </fill>
    <fill>
      <patternFill patternType="gray125"/>
    </fill>
    <fill>
      <patternFill patternType="solid">
        <fgColor rgb="00FFFF00"/>
      </patternFill>
    </fill>
    <fill>
      <patternFill patternType="solid">
        <fgColor rgb="001F3A2E"/>
      </patternFill>
    </fill>
    <fill>
      <patternFill patternType="solid">
        <fgColor rgb="00E8F0EB"/>
      </patternFill>
    </fill>
    <fill>
      <patternFill patternType="solid">
        <f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5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6" fillId="0" borderId="0" pivotButton="0" quotePrefix="0" xfId="0"/>
    <xf numFmtId="0" fontId="7" fillId="0" borderId="0" pivotButton="0" quotePrefix="0" xfId="0"/>
    <xf numFmtId="0" fontId="3" fillId="2" borderId="0" pivotButton="0" quotePrefix="0" xfId="0"/>
    <xf numFmtId="0" fontId="8" fillId="0" borderId="0" applyAlignment="1" pivotButton="0" quotePrefix="0" xfId="0">
      <alignment vertical="top" wrapText="1"/>
    </xf>
    <xf numFmtId="0" fontId="9" fillId="3" borderId="1" applyAlignment="1" pivotButton="0" quotePrefix="0" xfId="0">
      <alignment horizontal="center" vertical="center" wrapText="1"/>
    </xf>
    <xf numFmtId="0" fontId="0" fillId="3" borderId="1" pivotButton="0" quotePrefix="0" xfId="0"/>
    <xf numFmtId="166" fontId="11" fillId="3" borderId="1" applyAlignment="1" pivotButton="0" quotePrefix="0" xfId="0">
      <alignment horizontal="center" vertical="center" wrapText="1"/>
    </xf>
    <xf numFmtId="0" fontId="3" fillId="4" borderId="0" pivotButton="0" quotePrefix="0" xfId="0"/>
    <xf numFmtId="0" fontId="0" fillId="4" borderId="0" pivotButton="0" quotePrefix="0" xfId="0"/>
    <xf numFmtId="0" fontId="12" fillId="0" borderId="1" applyAlignment="1" pivotButton="0" quotePrefix="0" xfId="0">
      <alignment horizontal="left" vertical="center"/>
    </xf>
    <xf numFmtId="0" fontId="12" fillId="0" borderId="1" applyAlignment="1" pivotButton="0" quotePrefix="0" xfId="0">
      <alignment horizontal="left" vertical="center" wrapText="1"/>
    </xf>
    <xf numFmtId="0" fontId="12" fillId="0" borderId="1" applyAlignment="1" pivotButton="0" quotePrefix="0" xfId="0">
      <alignment horizontal="center" vertical="center"/>
    </xf>
    <xf numFmtId="0" fontId="13" fillId="0" borderId="1" applyAlignment="1" pivotButton="0" quotePrefix="0" xfId="0">
      <alignment horizontal="center" vertical="center" wrapText="1"/>
    </xf>
    <xf numFmtId="1" fontId="3" fillId="0" borderId="1" applyAlignment="1" pivotButton="0" quotePrefix="0" xfId="0">
      <alignment horizontal="center" vertical="center" wrapText="1"/>
    </xf>
    <xf numFmtId="0" fontId="14" fillId="0" borderId="0" pivotButton="0" quotePrefix="0" xfId="0"/>
    <xf numFmtId="0" fontId="4" fillId="0" borderId="1" applyAlignment="1" pivotButton="0" quotePrefix="0" xfId="0">
      <alignment vertical="top" wrapText="1"/>
    </xf>
    <xf numFmtId="0" fontId="10" fillId="0" borderId="1" applyAlignment="1" pivotButton="0" quotePrefix="0" xfId="0">
      <alignment horizontal="center" vertical="center" wrapText="1"/>
    </xf>
    <xf numFmtId="0" fontId="4" fillId="2" borderId="1" applyAlignment="1" pivotButton="0" quotePrefix="0" xfId="0">
      <alignment horizontal="center" vertical="center" wrapText="1"/>
    </xf>
    <xf numFmtId="1" fontId="3" fillId="0" borderId="0" pivotButton="0" quotePrefix="0" xfId="0"/>
    <xf numFmtId="164" fontId="3" fillId="0" borderId="0" pivotButton="0" quotePrefix="0" xfId="0"/>
    <xf numFmtId="0" fontId="10" fillId="0" borderId="1" applyAlignment="1" pivotButton="0" quotePrefix="0" xfId="0">
      <alignment vertical="top" wrapText="1"/>
    </xf>
    <xf numFmtId="166" fontId="10" fillId="0" borderId="1" applyAlignment="1" pivotButton="0" quotePrefix="0" xfId="0">
      <alignment vertical="top" wrapText="1"/>
    </xf>
    <xf numFmtId="0" fontId="4" fillId="2" borderId="1" applyAlignment="1" pivotButton="0" quotePrefix="0" xfId="0">
      <alignment vertical="top" wrapText="1"/>
    </xf>
    <xf numFmtId="0" fontId="15" fillId="0" borderId="0" pivotButton="0" quotePrefix="0" xfId="0"/>
    <xf numFmtId="0" fontId="3" fillId="0" borderId="0" applyAlignment="1" pivotButton="0" quotePrefix="0" xfId="0">
      <alignment vertical="top" wrapText="1"/>
    </xf>
    <xf numFmtId="0" fontId="16" fillId="2" borderId="1" applyAlignment="1" pivotButton="0" quotePrefix="0" xfId="0">
      <alignment vertical="top" wrapText="1"/>
    </xf>
    <xf numFmtId="166" fontId="16" fillId="2" borderId="1" applyAlignment="1" pivotButton="0" quotePrefix="0" xfId="0">
      <alignment vertical="top" wrapText="1"/>
    </xf>
    <xf numFmtId="0" fontId="4" fillId="2" borderId="1" pivotButton="0" quotePrefix="0" xfId="0"/>
    <xf numFmtId="166" fontId="4" fillId="2" borderId="1" pivotButton="0" quotePrefix="0" xfId="0"/>
    <xf numFmtId="9" fontId="3" fillId="0" borderId="0" pivotButton="0" quotePrefix="0" xfId="0"/>
    <xf numFmtId="49" fontId="3" fillId="0" borderId="0" pivotButton="0" quotePrefix="0" xfId="0"/>
    <xf numFmtId="166" fontId="10" fillId="0" borderId="1" applyAlignment="1" pivotButton="0" quotePrefix="0" xfId="0">
      <alignment horizontal="center" vertical="center" wrapText="1"/>
    </xf>
    <xf numFmtId="0" fontId="4" fillId="5" borderId="1" applyAlignment="1" pivotButton="0" quotePrefix="0" xfId="0">
      <alignment horizontal="center" vertical="center" wrapText="1"/>
    </xf>
    <xf numFmtId="9" fontId="4" fillId="0" borderId="1" applyAlignment="1" pivotButton="0" quotePrefix="0" xfId="0">
      <alignment horizontal="center" vertical="center" wrapText="1"/>
    </xf>
    <xf numFmtId="0" fontId="14" fillId="0" borderId="0" applyAlignment="1" pivotButton="0" quotePrefix="0" xfId="0">
      <alignment vertical="top" wrapText="1"/>
    </xf>
    <xf numFmtId="0" fontId="4" fillId="0" borderId="0" pivotButton="0" quotePrefix="0" xfId="0"/>
    <xf numFmtId="9" fontId="10" fillId="0" borderId="0" pivotButton="0" quotePrefix="0" xfId="0"/>
    <xf numFmtId="3" fontId="3" fillId="0" borderId="0" pivotButton="0" quotePrefix="0" xfId="0"/>
    <xf numFmtId="2" fontId="10" fillId="0" borderId="0" pivotButton="0" quotePrefix="0" xfId="0"/>
    <xf numFmtId="0" fontId="4" fillId="0" borderId="1" pivotButton="0" quotePrefix="0" xfId="0"/>
    <xf numFmtId="0" fontId="10" fillId="0" borderId="1" pivotButton="0" quotePrefix="0" xfId="0"/>
    <xf numFmtId="4" fontId="10" fillId="0" borderId="1" pivotButton="0" quotePrefix="0" xfId="0"/>
    <xf numFmtId="4" fontId="4" fillId="0" borderId="1" pivotButton="0" quotePrefix="0" xfId="0"/>
    <xf numFmtId="0" fontId="8" fillId="0" borderId="1" applyAlignment="1" pivotButton="0" quotePrefix="0" xfId="0">
      <alignment vertical="top" wrapText="1"/>
    </xf>
    <xf numFmtId="3" fontId="15" fillId="0" borderId="0" pivotButton="0" quotePrefix="0" xfId="0"/>
    <xf numFmtId="2" fontId="3" fillId="0" borderId="0" pivotButton="0" quotePrefix="0" xfId="0"/>
  </cellXfs>
  <cellStyles count="1">
    <cellStyle name="Normal" xfId="0" builtinId="0" hidden="0"/>
  </cellStyles>
  <dxfs count="4">
    <dxf>
      <font>
        <name val="Arial"/>
        <b val="1"/>
        <color rgb="00000000"/>
      </font>
      <fill>
        <patternFill patternType="solid">
          <fgColor rgb="00C9A227"/>
        </patternFill>
      </fill>
    </dxf>
    <dxf>
      <font>
        <name val="Arial"/>
        <b val="1"/>
        <color rgb="001F3A2E"/>
      </font>
      <fill>
        <patternFill patternType="solid">
          <fgColor rgb="009FD3B0"/>
        </patternFill>
      </fill>
    </dxf>
    <dxf>
      <fill>
        <patternFill patternType="solid">
          <fgColor rgb="002E7D4F"/>
        </patternFill>
      </fill>
    </dxf>
    <dxf>
      <fill>
        <patternFill patternType="solid">
          <fgColor rgb="00F8CBA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B40"/>
  <sheetViews>
    <sheetView workbookViewId="0">
      <selection activeCell="A1" sqref="A1"/>
    </sheetView>
  </sheetViews>
  <sheetFormatPr baseColWidth="8" defaultRowHeight="15"/>
  <cols>
    <col width="30" customWidth="1" min="1" max="1"/>
    <col width="120" customWidth="1" min="2" max="2"/>
  </cols>
  <sheetData>
    <row r="1">
      <c r="A1" s="1" t="inlineStr">
        <is>
          <t>Fixly · Plan de 3 meses: v1 en tiendas + tracción</t>
        </is>
      </c>
    </row>
    <row r="2">
      <c r="A2" s="2" t="inlineStr">
        <is>
          <t>Del lunes 7 de setiembre al domingo 6 de diciembre de 2026 · 13 semanas · una persona</t>
        </is>
      </c>
    </row>
    <row r="4" ht="48" customHeight="1">
      <c r="A4" s="3" t="inlineStr">
        <is>
          <t>Objetivo (/goal)</t>
        </is>
      </c>
      <c r="B4" s="4" t="inlineStr">
        <is>
          <t>20 suscripciones pagadas (no trials) a los 60 días de publicar en tiendas.</t>
        </is>
      </c>
    </row>
    <row r="5" ht="48" customHeight="1">
      <c r="A5" s="3" t="inlineStr">
        <is>
          <t>Producto v1</t>
        </is>
      </c>
      <c r="B5" s="4" t="inlineStr">
        <is>
          <t>Placa → API rellena auto → sube manual PDF → plan por km (extracción por modelo, revisada a mano) → estado → registrar → historial → avisos locales. Trial 14 días, bloqueo total, S/14,90/mes o anual vía IAP. Claro/verde. Solo Perú. Sin web, sin mapa, sin moto, sin login.</t>
        </is>
      </c>
    </row>
    <row r="6" ht="48" customHeight="1">
      <c r="A6" s="3" t="inlineStr">
        <is>
          <t>Usuario</t>
        </is>
      </c>
      <c r="B6" s="4" t="inlineStr">
        <is>
          <t>Joven en Perú con su primer auto (probablemente usado), tiene el manual en PDF, no sabe de mecánica, desconfía del taller.</t>
        </is>
      </c>
    </row>
    <row r="7" ht="48" customHeight="1">
      <c r="A7" s="3" t="inlineStr">
        <is>
          <t>Supuesto más riesgoso</t>
        </is>
      </c>
      <c r="B7" s="4" t="inlineStr">
        <is>
          <t>Que el joven tenga el PDF del manual. Se valida en las semanas 1–2 con 10 entrevistas ANTES de construir la extracción.</t>
        </is>
      </c>
    </row>
    <row r="8" ht="48" customHeight="1">
      <c r="A8" s="3" t="inlineStr">
        <is>
          <t>Fecha objetivo de publicación</t>
        </is>
      </c>
      <c r="B8" s="4" t="inlineStr">
        <is>
          <t>Semana 8 (26 oct – 1 nov). Los 60 días caen el ~25 de diciembre, fuera de este plan: la meta intermedia al 6 de diciembre es 10 pagos.</t>
        </is>
      </c>
    </row>
    <row r="9" ht="48" customHeight="1">
      <c r="A9" s="3" t="inlineStr">
        <is>
          <t>Restricción 1 · Apple</t>
        </is>
      </c>
      <c r="B9" s="4" t="inlineStr">
        <is>
          <t>Enrollment oficial 24–48 h, pero en 2026 hay reportes de 2–7 semanas. Se solicita el DÍA 1 (7 set). Primera revisión de app: 2–5 días.</t>
        </is>
      </c>
    </row>
    <row r="10" ht="48" customHeight="1">
      <c r="A10" s="3" t="inlineStr">
        <is>
          <t>Restricción 2 · Google Play</t>
        </is>
      </c>
      <c r="B10" s="4" t="inlineStr">
        <is>
          <t>Cuenta personal creada después del 13-nov-2023: prueba cerrada con 12 testers opt-in 14 días CONTINUOS y con uso real antes de producción. Debe arrancar en la semana 5 como tarde.</t>
        </is>
      </c>
    </row>
    <row r="11" ht="48" customHeight="1">
      <c r="A11" s="3" t="inlineStr">
        <is>
          <t>Restricción 3 · Peru Tech Week</t>
        </is>
      </c>
      <c r="B11" s="4" t="inlineStr">
        <is>
          <t>12–18 de octubre (semana 6). Es la única semana del trimestre donde todo el ecosistema está en el mismo lugar: se va con TestFlight en el celular, no con slides.</t>
        </is>
      </c>
    </row>
    <row r="12" ht="48" customHeight="1">
      <c r="A12" s="3" t="inlineStr">
        <is>
          <t>Restricción 4 · StartUp Perú</t>
        </is>
      </c>
      <c r="B12" s="4" t="inlineStr">
        <is>
          <t>Emprendimientos Innovadores (hasta S/67.000) está CERRADO y exige empresa constituida (≤1,5 años) y equipo de 2–4. No aplica en este trimestre; se prepara para la convocatoria 2027.</t>
        </is>
      </c>
    </row>
    <row r="13" ht="48" customHeight="1">
      <c r="A13" s="3" t="inlineStr">
        <is>
          <t>Sin publicidad pagada</t>
        </is>
      </c>
      <c r="B13" s="4" t="inlineStr">
        <is>
          <t>NEGOCIO.md: S/1,04 de valor por instalación vs S/35 de CPI. Todo el crecimiento de este plan es orgánico; el costo es tiempo.</t>
        </is>
      </c>
    </row>
    <row r="15">
      <c r="A15" s="5" t="inlineStr">
        <is>
          <t>Hojas</t>
        </is>
      </c>
    </row>
    <row r="16">
      <c r="A16" s="6" t="inlineStr">
        <is>
          <t>Cronograma</t>
        </is>
      </c>
      <c r="B16" s="4" t="inlineStr">
        <is>
          <t>Gantt semanal. Las celdas se pintan solas a partir de las columnas Inicio/Fin (fórmula).</t>
        </is>
      </c>
    </row>
    <row r="17">
      <c r="A17" s="6" t="inlineStr">
        <is>
          <t>Tareas</t>
        </is>
      </c>
      <c r="B17" s="4" t="inlineStr">
        <is>
          <t>Todas las tareas con semana, horas, dependencia, entregable y criterio de hecho. Edita 'Estado'.</t>
        </is>
      </c>
    </row>
    <row r="18">
      <c r="A18" s="6" t="inlineStr">
        <is>
          <t>Contenido</t>
        </is>
      </c>
      <c r="B18" s="4" t="inlineStr">
        <is>
          <t>Calendario de publicaciones: LinkedIn, TikTok/Instagram, grupos de Facebook, landing.</t>
        </is>
      </c>
    </row>
    <row r="19">
      <c r="A19" s="6" t="inlineStr">
        <is>
          <t>Ecosistema</t>
        </is>
      </c>
      <c r="B19" s="4" t="inlineStr">
        <is>
          <t>Programas, comunidades, eventos y medios en Perú con qué hacer y cuándo.</t>
        </is>
      </c>
    </row>
    <row r="20">
      <c r="A20" s="6" t="inlineStr">
        <is>
          <t>Entrevistas</t>
        </is>
      </c>
      <c r="B20" s="4" t="inlineStr">
        <is>
          <t>Tres rondas de entrevistas con guion y tracker (el % que tiene el PDF se calcula solo).</t>
        </is>
      </c>
    </row>
    <row r="21">
      <c r="A21" s="6" t="inlineStr">
        <is>
          <t>Talleres</t>
        </is>
      </c>
      <c r="B21" s="4" t="inlineStr">
        <is>
          <t>Plan de reuniones con talleres: para qué, a quién, guion, tracker.</t>
        </is>
      </c>
    </row>
    <row r="22">
      <c r="A22" s="6" t="inlineStr">
        <is>
          <t>Métricas</t>
        </is>
      </c>
      <c r="B22" s="4" t="inlineStr">
        <is>
          <t>Embudo semanal con meta y real; las tasas se calculan con fórmula.</t>
        </is>
      </c>
    </row>
    <row r="23">
      <c r="A23" s="6" t="inlineStr">
        <is>
          <t>Presupuesto</t>
        </is>
      </c>
      <c r="B23" s="4" t="inlineStr">
        <is>
          <t>Todo lo que cuesta dinero en el trimestre, en soles y dólares.</t>
        </is>
      </c>
    </row>
    <row r="24">
      <c r="A24" s="6" t="inlineStr">
        <is>
          <t>Riesgos</t>
        </is>
      </c>
      <c r="B24" s="4" t="inlineStr">
        <is>
          <t>Qué puede fallar, cómo lo detectas a tiempo y qué haces.</t>
        </is>
      </c>
    </row>
    <row r="26">
      <c r="A26" s="5" t="inlineStr">
        <is>
          <t>Leyenda</t>
        </is>
      </c>
    </row>
    <row r="27">
      <c r="A27" s="7" t="inlineStr">
        <is>
          <t>Texto azul</t>
        </is>
      </c>
      <c r="B27" s="4" t="inlineStr">
        <is>
          <t>Dato de entrada que puedes cambiar (fechas, metas, precios).</t>
        </is>
      </c>
    </row>
    <row r="28">
      <c r="A28" s="8" t="inlineStr">
        <is>
          <t>Fondo amarillo</t>
        </is>
      </c>
      <c r="B28" s="4" t="inlineStr">
        <is>
          <t>Celda para que TÚ llenes cada semana (reales, estado).</t>
        </is>
      </c>
    </row>
    <row r="29">
      <c r="A29" s="3" t="inlineStr">
        <is>
          <t>Texto negro</t>
        </is>
      </c>
      <c r="B29" s="4" t="inlineStr">
        <is>
          <t>Fórmula: no la edites.</t>
        </is>
      </c>
    </row>
    <row r="30">
      <c r="A30" s="3" t="inlineStr">
        <is>
          <t>Fila de ejemplo</t>
        </is>
      </c>
      <c r="B30" s="4" t="inlineStr">
        <is>
          <t>En Entrevistas y Talleres hay una fila marcada EJEMPLO con el formato esperado; bórrala cuando tengas datos reales.</t>
        </is>
      </c>
    </row>
    <row r="32">
      <c r="A32" s="5" t="inlineStr">
        <is>
          <t>Fuentes</t>
        </is>
      </c>
    </row>
    <row r="33">
      <c r="B33" s="9" t="inlineStr">
        <is>
          <t>Google Play, requisitos de prueba para cuentas personales: https://support.google.com/googleplay/android-developer/answer/14151465</t>
        </is>
      </c>
    </row>
    <row r="34">
      <c r="B34" s="9" t="inlineStr">
        <is>
          <t>Google Play 12 testers / 14 días (2026): https://ontest.app/blog/google-play-12-testers-14-days-requirement-explained</t>
        </is>
      </c>
    </row>
    <row r="35">
      <c r="B35" s="9" t="inlineStr">
        <is>
          <t>App Store review 2026 (2–5 días primera app): https://appcompliance.io/blog/app-store-review-time-2026/</t>
        </is>
      </c>
    </row>
    <row r="36">
      <c r="B36" s="9" t="inlineStr">
        <is>
          <t>Apple enrollment, demoras 2026: https://www.lance.app/guides/apple-developer-enrollment</t>
        </is>
      </c>
    </row>
    <row r="37">
      <c r="B37" s="9" t="inlineStr">
        <is>
          <t>Peru Tech Week 12–18 oct 2026: https://techweek.pe/</t>
        </is>
      </c>
    </row>
    <row r="38">
      <c r="B38" s="9" t="inlineStr">
        <is>
          <t>StartUp Perú · Emprendimientos Innovadores: https://startup.proinnovate.gob.pe/concursos/emprendimientos-innovadores/</t>
        </is>
      </c>
    </row>
    <row r="39">
      <c r="B39" s="9" t="inlineStr">
        <is>
          <t>Peru Venture Capital Conference: https://www.peruvcconference.com/</t>
        </is>
      </c>
    </row>
    <row r="40">
      <c r="B40" s="9" t="inlineStr">
        <is>
          <t>NEGOCIO.md, PANTALLAS.md, DETALLE-AUTO.md de este repo (cifras de costo, CPI, precio).</t>
        </is>
      </c>
    </row>
  </sheetData>
  <pageMargins left="0.75" right="0.75" top="1" bottom="1" header="0.5" footer="0.5"/>
  <pageSetup orientation="landscape" fitToWidth="1"/>
</worksheet>
</file>

<file path=xl/worksheets/sheet2.xml><?xml version="1.0" encoding="utf-8"?>
<worksheet xmlns="http://schemas.openxmlformats.org/spreadsheetml/2006/main">
  <sheetPr>
    <outlinePr summaryBelow="1" summaryRight="1"/>
    <pageSetUpPr fitToPage="1"/>
  </sheetPr>
  <dimension ref="A1:R64"/>
  <sheetViews>
    <sheetView workbookViewId="0">
      <pane xSplit="5" ySplit="5" topLeftCell="F6" activePane="bottomRight" state="frozen"/>
      <selection pane="topRight"/>
      <selection pane="bottomLeft"/>
      <selection pane="bottomRight" activeCell="A1" sqref="A1"/>
    </sheetView>
  </sheetViews>
  <sheetFormatPr baseColWidth="8" defaultRowHeight="15"/>
  <cols>
    <col width="6" customWidth="1" min="1" max="1"/>
    <col width="14" customWidth="1" min="2" max="2"/>
    <col width="46" customWidth="1" min="3" max="3"/>
    <col width="5" customWidth="1" min="4" max="4"/>
    <col width="5" customWidth="1" min="5" max="5"/>
    <col width="6.5" customWidth="1" min="6" max="6"/>
    <col width="6.5" customWidth="1" min="7" max="7"/>
    <col width="6.5" customWidth="1" min="8" max="8"/>
    <col width="6.5" customWidth="1" min="9" max="9"/>
    <col width="6.5" customWidth="1" min="10" max="10"/>
    <col width="6.5" customWidth="1" min="11" max="11"/>
    <col width="6.5" customWidth="1" min="12" max="12"/>
    <col width="6.5" customWidth="1" min="13" max="13"/>
    <col width="6.5" customWidth="1" min="14" max="14"/>
    <col width="6.5" customWidth="1" min="15" max="15"/>
    <col width="6.5" customWidth="1" min="16" max="16"/>
    <col width="6.5" customWidth="1" min="17" max="17"/>
    <col width="6.5" customWidth="1" min="18" max="18"/>
  </cols>
  <sheetData>
    <row r="1">
      <c r="A1" s="1" t="inlineStr">
        <is>
          <t>Cronograma · Gantt semanal</t>
        </is>
      </c>
    </row>
    <row r="2">
      <c r="A2" s="2" t="inlineStr">
        <is>
          <t>Las barras se pintan por fórmula desde Tareas (semana inicio/fin). Hitos en dorado. No edites las celdas de la grilla.</t>
        </is>
      </c>
    </row>
    <row r="4" ht="18" customHeight="1">
      <c r="A4" s="10" t="inlineStr">
        <is>
          <t>ID</t>
        </is>
      </c>
      <c r="B4" s="10" t="inlineStr">
        <is>
          <t>Frente</t>
        </is>
      </c>
      <c r="C4" s="10" t="inlineStr">
        <is>
          <t>Tarea</t>
        </is>
      </c>
      <c r="D4" s="10" t="inlineStr">
        <is>
          <t>Ini</t>
        </is>
      </c>
      <c r="E4" s="10" t="inlineStr">
        <is>
          <t>Fin</t>
        </is>
      </c>
      <c r="F4" s="10" t="n">
        <v>1</v>
      </c>
      <c r="G4" s="10" t="n">
        <v>2</v>
      </c>
      <c r="H4" s="10" t="n">
        <v>3</v>
      </c>
      <c r="I4" s="10" t="n">
        <v>4</v>
      </c>
      <c r="J4" s="10" t="n">
        <v>5</v>
      </c>
      <c r="K4" s="10" t="n">
        <v>6</v>
      </c>
      <c r="L4" s="10" t="n">
        <v>7</v>
      </c>
      <c r="M4" s="10" t="n">
        <v>8</v>
      </c>
      <c r="N4" s="10" t="n">
        <v>9</v>
      </c>
      <c r="O4" s="10" t="n">
        <v>10</v>
      </c>
      <c r="P4" s="10" t="n">
        <v>11</v>
      </c>
      <c r="Q4" s="10" t="n">
        <v>12</v>
      </c>
      <c r="R4" s="10" t="n">
        <v>13</v>
      </c>
    </row>
    <row r="5" ht="16" customHeight="1">
      <c r="A5" s="11" t="n"/>
      <c r="B5" s="11" t="n"/>
      <c r="C5" s="11" t="n"/>
      <c r="D5" s="11" t="n"/>
      <c r="E5" s="11" t="n"/>
      <c r="F5" s="12" t="n">
        <v>46272</v>
      </c>
      <c r="G5" s="12" t="n">
        <v>46279</v>
      </c>
      <c r="H5" s="12" t="n">
        <v>46286</v>
      </c>
      <c r="I5" s="12" t="n">
        <v>46293</v>
      </c>
      <c r="J5" s="12" t="n">
        <v>46300</v>
      </c>
      <c r="K5" s="12" t="n">
        <v>46307</v>
      </c>
      <c r="L5" s="12" t="n">
        <v>46314</v>
      </c>
      <c r="M5" s="12" t="n">
        <v>46321</v>
      </c>
      <c r="N5" s="12" t="n">
        <v>46328</v>
      </c>
      <c r="O5" s="12" t="n">
        <v>46335</v>
      </c>
      <c r="P5" s="12" t="n">
        <v>46342</v>
      </c>
      <c r="Q5" s="12" t="n">
        <v>46349</v>
      </c>
      <c r="R5" s="12" t="n">
        <v>46356</v>
      </c>
    </row>
    <row r="6">
      <c r="A6" s="13" t="inlineStr">
        <is>
          <t>CUENTAS Y TIENDAS</t>
        </is>
      </c>
      <c r="B6" s="14" t="n"/>
      <c r="C6" s="14" t="n"/>
      <c r="D6" s="14" t="n"/>
      <c r="E6" s="14" t="n"/>
      <c r="F6" s="14" t="n"/>
      <c r="G6" s="14" t="n"/>
      <c r="H6" s="14" t="n"/>
      <c r="I6" s="14" t="n"/>
      <c r="J6" s="14" t="n"/>
      <c r="K6" s="14" t="n"/>
      <c r="L6" s="14" t="n"/>
      <c r="M6" s="14" t="n"/>
      <c r="N6" s="14" t="n"/>
      <c r="O6" s="14" t="n"/>
      <c r="P6" s="14" t="n"/>
      <c r="Q6" s="14" t="n"/>
      <c r="R6" s="14" t="n"/>
    </row>
    <row r="7" ht="26" customHeight="1">
      <c r="A7" s="15">
        <f>Tareas!A5</f>
        <v/>
      </c>
      <c r="B7" s="15">
        <f>Tareas!B5</f>
        <v/>
      </c>
      <c r="C7" s="16">
        <f>Tareas!C5</f>
        <v/>
      </c>
      <c r="D7" s="17">
        <f>Tareas!E5</f>
        <v/>
      </c>
      <c r="E7" s="17">
        <f>Tareas!F5</f>
        <v/>
      </c>
      <c r="F7" s="18">
        <f>IF(AND(F$4&gt;=$D7,F$4&lt;=$E7),IF(Tareas!$K5="Hecho","✓","■"),"")</f>
        <v/>
      </c>
      <c r="G7" s="18">
        <f>IF(AND(G$4&gt;=$D7,G$4&lt;=$E7),IF(Tareas!$K5="Hecho","✓","■"),"")</f>
        <v/>
      </c>
      <c r="H7" s="18">
        <f>IF(AND(H$4&gt;=$D7,H$4&lt;=$E7),IF(Tareas!$K5="Hecho","✓","■"),"")</f>
        <v/>
      </c>
      <c r="I7" s="18">
        <f>IF(AND(I$4&gt;=$D7,I$4&lt;=$E7),IF(Tareas!$K5="Hecho","✓","■"),"")</f>
        <v/>
      </c>
      <c r="J7" s="18">
        <f>IF(AND(J$4&gt;=$D7,J$4&lt;=$E7),IF(Tareas!$K5="Hecho","✓","■"),"")</f>
        <v/>
      </c>
      <c r="K7" s="18">
        <f>IF(AND(K$4&gt;=$D7,K$4&lt;=$E7),IF(Tareas!$K5="Hecho","✓","■"),"")</f>
        <v/>
      </c>
      <c r="L7" s="18">
        <f>IF(AND(L$4&gt;=$D7,L$4&lt;=$E7),IF(Tareas!$K5="Hecho","✓","■"),"")</f>
        <v/>
      </c>
      <c r="M7" s="18">
        <f>IF(AND(M$4&gt;=$D7,M$4&lt;=$E7),IF(Tareas!$K5="Hecho","✓","■"),"")</f>
        <v/>
      </c>
      <c r="N7" s="18">
        <f>IF(AND(N$4&gt;=$D7,N$4&lt;=$E7),IF(Tareas!$K5="Hecho","✓","■"),"")</f>
        <v/>
      </c>
      <c r="O7" s="18">
        <f>IF(AND(O$4&gt;=$D7,O$4&lt;=$E7),IF(Tareas!$K5="Hecho","✓","■"),"")</f>
        <v/>
      </c>
      <c r="P7" s="18">
        <f>IF(AND(P$4&gt;=$D7,P$4&lt;=$E7),IF(Tareas!$K5="Hecho","✓","■"),"")</f>
        <v/>
      </c>
      <c r="Q7" s="18">
        <f>IF(AND(Q$4&gt;=$D7,Q$4&lt;=$E7),IF(Tareas!$K5="Hecho","✓","■"),"")</f>
        <v/>
      </c>
      <c r="R7" s="18">
        <f>IF(AND(R$4&gt;=$D7,R$4&lt;=$E7),IF(Tareas!$K5="Hecho","✓","■"),"")</f>
        <v/>
      </c>
    </row>
    <row r="8" ht="26" customHeight="1">
      <c r="A8" s="15">
        <f>Tareas!A6</f>
        <v/>
      </c>
      <c r="B8" s="15">
        <f>Tareas!B6</f>
        <v/>
      </c>
      <c r="C8" s="16">
        <f>Tareas!C6</f>
        <v/>
      </c>
      <c r="D8" s="17">
        <f>Tareas!E6</f>
        <v/>
      </c>
      <c r="E8" s="17">
        <f>Tareas!F6</f>
        <v/>
      </c>
      <c r="F8" s="18">
        <f>IF(AND(F$4&gt;=$D8,F$4&lt;=$E8),IF(Tareas!$K6="Hecho","✓","■"),"")</f>
        <v/>
      </c>
      <c r="G8" s="18">
        <f>IF(AND(G$4&gt;=$D8,G$4&lt;=$E8),IF(Tareas!$K6="Hecho","✓","■"),"")</f>
        <v/>
      </c>
      <c r="H8" s="18">
        <f>IF(AND(H$4&gt;=$D8,H$4&lt;=$E8),IF(Tareas!$K6="Hecho","✓","■"),"")</f>
        <v/>
      </c>
      <c r="I8" s="18">
        <f>IF(AND(I$4&gt;=$D8,I$4&lt;=$E8),IF(Tareas!$K6="Hecho","✓","■"),"")</f>
        <v/>
      </c>
      <c r="J8" s="18">
        <f>IF(AND(J$4&gt;=$D8,J$4&lt;=$E8),IF(Tareas!$K6="Hecho","✓","■"),"")</f>
        <v/>
      </c>
      <c r="K8" s="18">
        <f>IF(AND(K$4&gt;=$D8,K$4&lt;=$E8),IF(Tareas!$K6="Hecho","✓","■"),"")</f>
        <v/>
      </c>
      <c r="L8" s="18">
        <f>IF(AND(L$4&gt;=$D8,L$4&lt;=$E8),IF(Tareas!$K6="Hecho","✓","■"),"")</f>
        <v/>
      </c>
      <c r="M8" s="18">
        <f>IF(AND(M$4&gt;=$D8,M$4&lt;=$E8),IF(Tareas!$K6="Hecho","✓","■"),"")</f>
        <v/>
      </c>
      <c r="N8" s="18">
        <f>IF(AND(N$4&gt;=$D8,N$4&lt;=$E8),IF(Tareas!$K6="Hecho","✓","■"),"")</f>
        <v/>
      </c>
      <c r="O8" s="18">
        <f>IF(AND(O$4&gt;=$D8,O$4&lt;=$E8),IF(Tareas!$K6="Hecho","✓","■"),"")</f>
        <v/>
      </c>
      <c r="P8" s="18">
        <f>IF(AND(P$4&gt;=$D8,P$4&lt;=$E8),IF(Tareas!$K6="Hecho","✓","■"),"")</f>
        <v/>
      </c>
      <c r="Q8" s="18">
        <f>IF(AND(Q$4&gt;=$D8,Q$4&lt;=$E8),IF(Tareas!$K6="Hecho","✓","■"),"")</f>
        <v/>
      </c>
      <c r="R8" s="18">
        <f>IF(AND(R$4&gt;=$D8,R$4&lt;=$E8),IF(Tareas!$K6="Hecho","✓","■"),"")</f>
        <v/>
      </c>
    </row>
    <row r="9" ht="26" customHeight="1">
      <c r="A9" s="15">
        <f>Tareas!A7</f>
        <v/>
      </c>
      <c r="B9" s="15">
        <f>Tareas!B7</f>
        <v/>
      </c>
      <c r="C9" s="16">
        <f>Tareas!C7</f>
        <v/>
      </c>
      <c r="D9" s="17">
        <f>Tareas!E7</f>
        <v/>
      </c>
      <c r="E9" s="17">
        <f>Tareas!F7</f>
        <v/>
      </c>
      <c r="F9" s="18">
        <f>IF(AND(F$4&gt;=$D9,F$4&lt;=$E9),IF(Tareas!$K7="Hecho","✓","■"),"")</f>
        <v/>
      </c>
      <c r="G9" s="18">
        <f>IF(AND(G$4&gt;=$D9,G$4&lt;=$E9),IF(Tareas!$K7="Hecho","✓","■"),"")</f>
        <v/>
      </c>
      <c r="H9" s="18">
        <f>IF(AND(H$4&gt;=$D9,H$4&lt;=$E9),IF(Tareas!$K7="Hecho","✓","■"),"")</f>
        <v/>
      </c>
      <c r="I9" s="18">
        <f>IF(AND(I$4&gt;=$D9,I$4&lt;=$E9),IF(Tareas!$K7="Hecho","✓","■"),"")</f>
        <v/>
      </c>
      <c r="J9" s="18">
        <f>IF(AND(J$4&gt;=$D9,J$4&lt;=$E9),IF(Tareas!$K7="Hecho","✓","■"),"")</f>
        <v/>
      </c>
      <c r="K9" s="18">
        <f>IF(AND(K$4&gt;=$D9,K$4&lt;=$E9),IF(Tareas!$K7="Hecho","✓","■"),"")</f>
        <v/>
      </c>
      <c r="L9" s="18">
        <f>IF(AND(L$4&gt;=$D9,L$4&lt;=$E9),IF(Tareas!$K7="Hecho","✓","■"),"")</f>
        <v/>
      </c>
      <c r="M9" s="18">
        <f>IF(AND(M$4&gt;=$D9,M$4&lt;=$E9),IF(Tareas!$K7="Hecho","✓","■"),"")</f>
        <v/>
      </c>
      <c r="N9" s="18">
        <f>IF(AND(N$4&gt;=$D9,N$4&lt;=$E9),IF(Tareas!$K7="Hecho","✓","■"),"")</f>
        <v/>
      </c>
      <c r="O9" s="18">
        <f>IF(AND(O$4&gt;=$D9,O$4&lt;=$E9),IF(Tareas!$K7="Hecho","✓","■"),"")</f>
        <v/>
      </c>
      <c r="P9" s="18">
        <f>IF(AND(P$4&gt;=$D9,P$4&lt;=$E9),IF(Tareas!$K7="Hecho","✓","■"),"")</f>
        <v/>
      </c>
      <c r="Q9" s="18">
        <f>IF(AND(Q$4&gt;=$D9,Q$4&lt;=$E9),IF(Tareas!$K7="Hecho","✓","■"),"")</f>
        <v/>
      </c>
      <c r="R9" s="18">
        <f>IF(AND(R$4&gt;=$D9,R$4&lt;=$E9),IF(Tareas!$K7="Hecho","✓","■"),"")</f>
        <v/>
      </c>
    </row>
    <row r="10" ht="26" customHeight="1">
      <c r="A10" s="15">
        <f>Tareas!A8</f>
        <v/>
      </c>
      <c r="B10" s="15">
        <f>Tareas!B8</f>
        <v/>
      </c>
      <c r="C10" s="16">
        <f>Tareas!C8</f>
        <v/>
      </c>
      <c r="D10" s="17">
        <f>Tareas!E8</f>
        <v/>
      </c>
      <c r="E10" s="17">
        <f>Tareas!F8</f>
        <v/>
      </c>
      <c r="F10" s="18">
        <f>IF(AND(F$4&gt;=$D10,F$4&lt;=$E10),IF(Tareas!$K8="Hecho","✓","■"),"")</f>
        <v/>
      </c>
      <c r="G10" s="18">
        <f>IF(AND(G$4&gt;=$D10,G$4&lt;=$E10),IF(Tareas!$K8="Hecho","✓","■"),"")</f>
        <v/>
      </c>
      <c r="H10" s="18">
        <f>IF(AND(H$4&gt;=$D10,H$4&lt;=$E10),IF(Tareas!$K8="Hecho","✓","■"),"")</f>
        <v/>
      </c>
      <c r="I10" s="18">
        <f>IF(AND(I$4&gt;=$D10,I$4&lt;=$E10),IF(Tareas!$K8="Hecho","✓","■"),"")</f>
        <v/>
      </c>
      <c r="J10" s="18">
        <f>IF(AND(J$4&gt;=$D10,J$4&lt;=$E10),IF(Tareas!$K8="Hecho","✓","■"),"")</f>
        <v/>
      </c>
      <c r="K10" s="18">
        <f>IF(AND(K$4&gt;=$D10,K$4&lt;=$E10),IF(Tareas!$K8="Hecho","✓","■"),"")</f>
        <v/>
      </c>
      <c r="L10" s="18">
        <f>IF(AND(L$4&gt;=$D10,L$4&lt;=$E10),IF(Tareas!$K8="Hecho","✓","■"),"")</f>
        <v/>
      </c>
      <c r="M10" s="18">
        <f>IF(AND(M$4&gt;=$D10,M$4&lt;=$E10),IF(Tareas!$K8="Hecho","✓","■"),"")</f>
        <v/>
      </c>
      <c r="N10" s="18">
        <f>IF(AND(N$4&gt;=$D10,N$4&lt;=$E10),IF(Tareas!$K8="Hecho","✓","■"),"")</f>
        <v/>
      </c>
      <c r="O10" s="18">
        <f>IF(AND(O$4&gt;=$D10,O$4&lt;=$E10),IF(Tareas!$K8="Hecho","✓","■"),"")</f>
        <v/>
      </c>
      <c r="P10" s="18">
        <f>IF(AND(P$4&gt;=$D10,P$4&lt;=$E10),IF(Tareas!$K8="Hecho","✓","■"),"")</f>
        <v/>
      </c>
      <c r="Q10" s="18">
        <f>IF(AND(Q$4&gt;=$D10,Q$4&lt;=$E10),IF(Tareas!$K8="Hecho","✓","■"),"")</f>
        <v/>
      </c>
      <c r="R10" s="18">
        <f>IF(AND(R$4&gt;=$D10,R$4&lt;=$E10),IF(Tareas!$K8="Hecho","✓","■"),"")</f>
        <v/>
      </c>
    </row>
    <row r="11" ht="26" customHeight="1">
      <c r="A11" s="15">
        <f>Tareas!A9</f>
        <v/>
      </c>
      <c r="B11" s="15">
        <f>Tareas!B9</f>
        <v/>
      </c>
      <c r="C11" s="16">
        <f>Tareas!C9</f>
        <v/>
      </c>
      <c r="D11" s="17">
        <f>Tareas!E9</f>
        <v/>
      </c>
      <c r="E11" s="17">
        <f>Tareas!F9</f>
        <v/>
      </c>
      <c r="F11" s="18">
        <f>IF(AND(F$4&gt;=$D11,F$4&lt;=$E11),IF(Tareas!$K9="Hecho","✓","■"),"")</f>
        <v/>
      </c>
      <c r="G11" s="18">
        <f>IF(AND(G$4&gt;=$D11,G$4&lt;=$E11),IF(Tareas!$K9="Hecho","✓","■"),"")</f>
        <v/>
      </c>
      <c r="H11" s="18">
        <f>IF(AND(H$4&gt;=$D11,H$4&lt;=$E11),IF(Tareas!$K9="Hecho","✓","■"),"")</f>
        <v/>
      </c>
      <c r="I11" s="18">
        <f>IF(AND(I$4&gt;=$D11,I$4&lt;=$E11),IF(Tareas!$K9="Hecho","✓","■"),"")</f>
        <v/>
      </c>
      <c r="J11" s="18">
        <f>IF(AND(J$4&gt;=$D11,J$4&lt;=$E11),IF(Tareas!$K9="Hecho","✓","■"),"")</f>
        <v/>
      </c>
      <c r="K11" s="18">
        <f>IF(AND(K$4&gt;=$D11,K$4&lt;=$E11),IF(Tareas!$K9="Hecho","✓","■"),"")</f>
        <v/>
      </c>
      <c r="L11" s="18">
        <f>IF(AND(L$4&gt;=$D11,L$4&lt;=$E11),IF(Tareas!$K9="Hecho","✓","■"),"")</f>
        <v/>
      </c>
      <c r="M11" s="18">
        <f>IF(AND(M$4&gt;=$D11,M$4&lt;=$E11),IF(Tareas!$K9="Hecho","✓","■"),"")</f>
        <v/>
      </c>
      <c r="N11" s="18">
        <f>IF(AND(N$4&gt;=$D11,N$4&lt;=$E11),IF(Tareas!$K9="Hecho","✓","■"),"")</f>
        <v/>
      </c>
      <c r="O11" s="18">
        <f>IF(AND(O$4&gt;=$D11,O$4&lt;=$E11),IF(Tareas!$K9="Hecho","✓","■"),"")</f>
        <v/>
      </c>
      <c r="P11" s="18">
        <f>IF(AND(P$4&gt;=$D11,P$4&lt;=$E11),IF(Tareas!$K9="Hecho","✓","■"),"")</f>
        <v/>
      </c>
      <c r="Q11" s="18">
        <f>IF(AND(Q$4&gt;=$D11,Q$4&lt;=$E11),IF(Tareas!$K9="Hecho","✓","■"),"")</f>
        <v/>
      </c>
      <c r="R11" s="18">
        <f>IF(AND(R$4&gt;=$D11,R$4&lt;=$E11),IF(Tareas!$K9="Hecho","✓","■"),"")</f>
        <v/>
      </c>
    </row>
    <row r="12" ht="26" customHeight="1">
      <c r="A12" s="15">
        <f>Tareas!A10</f>
        <v/>
      </c>
      <c r="B12" s="15">
        <f>Tareas!B10</f>
        <v/>
      </c>
      <c r="C12" s="16">
        <f>Tareas!C10</f>
        <v/>
      </c>
      <c r="D12" s="17">
        <f>Tareas!E10</f>
        <v/>
      </c>
      <c r="E12" s="17">
        <f>Tareas!F10</f>
        <v/>
      </c>
      <c r="F12" s="18">
        <f>IF(AND(F$4&gt;=$D12,F$4&lt;=$E12),IF(Tareas!$K10="Hecho","✓","■"),"")</f>
        <v/>
      </c>
      <c r="G12" s="18">
        <f>IF(AND(G$4&gt;=$D12,G$4&lt;=$E12),IF(Tareas!$K10="Hecho","✓","■"),"")</f>
        <v/>
      </c>
      <c r="H12" s="18">
        <f>IF(AND(H$4&gt;=$D12,H$4&lt;=$E12),IF(Tareas!$K10="Hecho","✓","■"),"")</f>
        <v/>
      </c>
      <c r="I12" s="18">
        <f>IF(AND(I$4&gt;=$D12,I$4&lt;=$E12),IF(Tareas!$K10="Hecho","✓","■"),"")</f>
        <v/>
      </c>
      <c r="J12" s="18">
        <f>IF(AND(J$4&gt;=$D12,J$4&lt;=$E12),IF(Tareas!$K10="Hecho","✓","■"),"")</f>
        <v/>
      </c>
      <c r="K12" s="18">
        <f>IF(AND(K$4&gt;=$D12,K$4&lt;=$E12),IF(Tareas!$K10="Hecho","✓","■"),"")</f>
        <v/>
      </c>
      <c r="L12" s="18">
        <f>IF(AND(L$4&gt;=$D12,L$4&lt;=$E12),IF(Tareas!$K10="Hecho","✓","■"),"")</f>
        <v/>
      </c>
      <c r="M12" s="18">
        <f>IF(AND(M$4&gt;=$D12,M$4&lt;=$E12),IF(Tareas!$K10="Hecho","✓","■"),"")</f>
        <v/>
      </c>
      <c r="N12" s="18">
        <f>IF(AND(N$4&gt;=$D12,N$4&lt;=$E12),IF(Tareas!$K10="Hecho","✓","■"),"")</f>
        <v/>
      </c>
      <c r="O12" s="18">
        <f>IF(AND(O$4&gt;=$D12,O$4&lt;=$E12),IF(Tareas!$K10="Hecho","✓","■"),"")</f>
        <v/>
      </c>
      <c r="P12" s="18">
        <f>IF(AND(P$4&gt;=$D12,P$4&lt;=$E12),IF(Tareas!$K10="Hecho","✓","■"),"")</f>
        <v/>
      </c>
      <c r="Q12" s="18">
        <f>IF(AND(Q$4&gt;=$D12,Q$4&lt;=$E12),IF(Tareas!$K10="Hecho","✓","■"),"")</f>
        <v/>
      </c>
      <c r="R12" s="18">
        <f>IF(AND(R$4&gt;=$D12,R$4&lt;=$E12),IF(Tareas!$K10="Hecho","✓","■"),"")</f>
        <v/>
      </c>
    </row>
    <row r="13" ht="26" customHeight="1">
      <c r="A13" s="15">
        <f>Tareas!A11</f>
        <v/>
      </c>
      <c r="B13" s="15">
        <f>Tareas!B11</f>
        <v/>
      </c>
      <c r="C13" s="16">
        <f>Tareas!C11</f>
        <v/>
      </c>
      <c r="D13" s="17">
        <f>Tareas!E11</f>
        <v/>
      </c>
      <c r="E13" s="17">
        <f>Tareas!F11</f>
        <v/>
      </c>
      <c r="F13" s="18">
        <f>IF(AND(F$4&gt;=$D13,F$4&lt;=$E13),IF(Tareas!$K11="Hecho","✓","■"),"")</f>
        <v/>
      </c>
      <c r="G13" s="18">
        <f>IF(AND(G$4&gt;=$D13,G$4&lt;=$E13),IF(Tareas!$K11="Hecho","✓","■"),"")</f>
        <v/>
      </c>
      <c r="H13" s="18">
        <f>IF(AND(H$4&gt;=$D13,H$4&lt;=$E13),IF(Tareas!$K11="Hecho","✓","■"),"")</f>
        <v/>
      </c>
      <c r="I13" s="18">
        <f>IF(AND(I$4&gt;=$D13,I$4&lt;=$E13),IF(Tareas!$K11="Hecho","✓","■"),"")</f>
        <v/>
      </c>
      <c r="J13" s="18">
        <f>IF(AND(J$4&gt;=$D13,J$4&lt;=$E13),IF(Tareas!$K11="Hecho","✓","■"),"")</f>
        <v/>
      </c>
      <c r="K13" s="18">
        <f>IF(AND(K$4&gt;=$D13,K$4&lt;=$E13),IF(Tareas!$K11="Hecho","✓","■"),"")</f>
        <v/>
      </c>
      <c r="L13" s="18">
        <f>IF(AND(L$4&gt;=$D13,L$4&lt;=$E13),IF(Tareas!$K11="Hecho","✓","■"),"")</f>
        <v/>
      </c>
      <c r="M13" s="18">
        <f>IF(AND(M$4&gt;=$D13,M$4&lt;=$E13),IF(Tareas!$K11="Hecho","✓","■"),"")</f>
        <v/>
      </c>
      <c r="N13" s="18">
        <f>IF(AND(N$4&gt;=$D13,N$4&lt;=$E13),IF(Tareas!$K11="Hecho","✓","■"),"")</f>
        <v/>
      </c>
      <c r="O13" s="18">
        <f>IF(AND(O$4&gt;=$D13,O$4&lt;=$E13),IF(Tareas!$K11="Hecho","✓","■"),"")</f>
        <v/>
      </c>
      <c r="P13" s="18">
        <f>IF(AND(P$4&gt;=$D13,P$4&lt;=$E13),IF(Tareas!$K11="Hecho","✓","■"),"")</f>
        <v/>
      </c>
      <c r="Q13" s="18">
        <f>IF(AND(Q$4&gt;=$D13,Q$4&lt;=$E13),IF(Tareas!$K11="Hecho","✓","■"),"")</f>
        <v/>
      </c>
      <c r="R13" s="18">
        <f>IF(AND(R$4&gt;=$D13,R$4&lt;=$E13),IF(Tareas!$K11="Hecho","✓","■"),"")</f>
        <v/>
      </c>
    </row>
    <row r="14" ht="26" customHeight="1">
      <c r="A14" s="15">
        <f>Tareas!A12</f>
        <v/>
      </c>
      <c r="B14" s="15">
        <f>Tareas!B12</f>
        <v/>
      </c>
      <c r="C14" s="16">
        <f>Tareas!C12</f>
        <v/>
      </c>
      <c r="D14" s="17">
        <f>Tareas!E12</f>
        <v/>
      </c>
      <c r="E14" s="17">
        <f>Tareas!F12</f>
        <v/>
      </c>
      <c r="F14" s="18">
        <f>IF(AND(F$4&gt;=$D14,F$4&lt;=$E14),IF(Tareas!$K12="Hecho","✓","■"),"")</f>
        <v/>
      </c>
      <c r="G14" s="18">
        <f>IF(AND(G$4&gt;=$D14,G$4&lt;=$E14),IF(Tareas!$K12="Hecho","✓","■"),"")</f>
        <v/>
      </c>
      <c r="H14" s="18">
        <f>IF(AND(H$4&gt;=$D14,H$4&lt;=$E14),IF(Tareas!$K12="Hecho","✓","■"),"")</f>
        <v/>
      </c>
      <c r="I14" s="18">
        <f>IF(AND(I$4&gt;=$D14,I$4&lt;=$E14),IF(Tareas!$K12="Hecho","✓","■"),"")</f>
        <v/>
      </c>
      <c r="J14" s="18">
        <f>IF(AND(J$4&gt;=$D14,J$4&lt;=$E14),IF(Tareas!$K12="Hecho","✓","■"),"")</f>
        <v/>
      </c>
      <c r="K14" s="18">
        <f>IF(AND(K$4&gt;=$D14,K$4&lt;=$E14),IF(Tareas!$K12="Hecho","✓","■"),"")</f>
        <v/>
      </c>
      <c r="L14" s="18">
        <f>IF(AND(L$4&gt;=$D14,L$4&lt;=$E14),IF(Tareas!$K12="Hecho","✓","■"),"")</f>
        <v/>
      </c>
      <c r="M14" s="18">
        <f>IF(AND(M$4&gt;=$D14,M$4&lt;=$E14),IF(Tareas!$K12="Hecho","✓","■"),"")</f>
        <v/>
      </c>
      <c r="N14" s="18">
        <f>IF(AND(N$4&gt;=$D14,N$4&lt;=$E14),IF(Tareas!$K12="Hecho","✓","■"),"")</f>
        <v/>
      </c>
      <c r="O14" s="18">
        <f>IF(AND(O$4&gt;=$D14,O$4&lt;=$E14),IF(Tareas!$K12="Hecho","✓","■"),"")</f>
        <v/>
      </c>
      <c r="P14" s="18">
        <f>IF(AND(P$4&gt;=$D14,P$4&lt;=$E14),IF(Tareas!$K12="Hecho","✓","■"),"")</f>
        <v/>
      </c>
      <c r="Q14" s="18">
        <f>IF(AND(Q$4&gt;=$D14,Q$4&lt;=$E14),IF(Tareas!$K12="Hecho","✓","■"),"")</f>
        <v/>
      </c>
      <c r="R14" s="18">
        <f>IF(AND(R$4&gt;=$D14,R$4&lt;=$E14),IF(Tareas!$K12="Hecho","✓","■"),"")</f>
        <v/>
      </c>
    </row>
    <row r="15" ht="26" customHeight="1">
      <c r="A15" s="15">
        <f>Tareas!A13</f>
        <v/>
      </c>
      <c r="B15" s="15">
        <f>Tareas!B13</f>
        <v/>
      </c>
      <c r="C15" s="16">
        <f>Tareas!C13</f>
        <v/>
      </c>
      <c r="D15" s="17">
        <f>Tareas!E13</f>
        <v/>
      </c>
      <c r="E15" s="17">
        <f>Tareas!F13</f>
        <v/>
      </c>
      <c r="F15" s="18">
        <f>IF(AND(F$4&gt;=$D15,F$4&lt;=$E15),IF(Tareas!$K13="Hecho","✓","■"),"")</f>
        <v/>
      </c>
      <c r="G15" s="18">
        <f>IF(AND(G$4&gt;=$D15,G$4&lt;=$E15),IF(Tareas!$K13="Hecho","✓","■"),"")</f>
        <v/>
      </c>
      <c r="H15" s="18">
        <f>IF(AND(H$4&gt;=$D15,H$4&lt;=$E15),IF(Tareas!$K13="Hecho","✓","■"),"")</f>
        <v/>
      </c>
      <c r="I15" s="18">
        <f>IF(AND(I$4&gt;=$D15,I$4&lt;=$E15),IF(Tareas!$K13="Hecho","✓","■"),"")</f>
        <v/>
      </c>
      <c r="J15" s="18">
        <f>IF(AND(J$4&gt;=$D15,J$4&lt;=$E15),IF(Tareas!$K13="Hecho","✓","■"),"")</f>
        <v/>
      </c>
      <c r="K15" s="18">
        <f>IF(AND(K$4&gt;=$D15,K$4&lt;=$E15),IF(Tareas!$K13="Hecho","✓","■"),"")</f>
        <v/>
      </c>
      <c r="L15" s="18">
        <f>IF(AND(L$4&gt;=$D15,L$4&lt;=$E15),IF(Tareas!$K13="Hecho","✓","■"),"")</f>
        <v/>
      </c>
      <c r="M15" s="18">
        <f>IF(AND(M$4&gt;=$D15,M$4&lt;=$E15),IF(Tareas!$K13="Hecho","✓","■"),"")</f>
        <v/>
      </c>
      <c r="N15" s="18">
        <f>IF(AND(N$4&gt;=$D15,N$4&lt;=$E15),IF(Tareas!$K13="Hecho","✓","■"),"")</f>
        <v/>
      </c>
      <c r="O15" s="18">
        <f>IF(AND(O$4&gt;=$D15,O$4&lt;=$E15),IF(Tareas!$K13="Hecho","✓","■"),"")</f>
        <v/>
      </c>
      <c r="P15" s="18">
        <f>IF(AND(P$4&gt;=$D15,P$4&lt;=$E15),IF(Tareas!$K13="Hecho","✓","■"),"")</f>
        <v/>
      </c>
      <c r="Q15" s="18">
        <f>IF(AND(Q$4&gt;=$D15,Q$4&lt;=$E15),IF(Tareas!$K13="Hecho","✓","■"),"")</f>
        <v/>
      </c>
      <c r="R15" s="18">
        <f>IF(AND(R$4&gt;=$D15,R$4&lt;=$E15),IF(Tareas!$K13="Hecho","✓","■"),"")</f>
        <v/>
      </c>
    </row>
    <row r="16" ht="26" customHeight="1">
      <c r="A16" s="15">
        <f>Tareas!A14</f>
        <v/>
      </c>
      <c r="B16" s="15">
        <f>Tareas!B14</f>
        <v/>
      </c>
      <c r="C16" s="16">
        <f>Tareas!C14</f>
        <v/>
      </c>
      <c r="D16" s="17">
        <f>Tareas!E14</f>
        <v/>
      </c>
      <c r="E16" s="17">
        <f>Tareas!F14</f>
        <v/>
      </c>
      <c r="F16" s="18">
        <f>IF(AND(F$4&gt;=$D16,F$4&lt;=$E16),IF(Tareas!$K14="Hecho","✓","■"),"")</f>
        <v/>
      </c>
      <c r="G16" s="18">
        <f>IF(AND(G$4&gt;=$D16,G$4&lt;=$E16),IF(Tareas!$K14="Hecho","✓","■"),"")</f>
        <v/>
      </c>
      <c r="H16" s="18">
        <f>IF(AND(H$4&gt;=$D16,H$4&lt;=$E16),IF(Tareas!$K14="Hecho","✓","■"),"")</f>
        <v/>
      </c>
      <c r="I16" s="18">
        <f>IF(AND(I$4&gt;=$D16,I$4&lt;=$E16),IF(Tareas!$K14="Hecho","✓","■"),"")</f>
        <v/>
      </c>
      <c r="J16" s="18">
        <f>IF(AND(J$4&gt;=$D16,J$4&lt;=$E16),IF(Tareas!$K14="Hecho","✓","■"),"")</f>
        <v/>
      </c>
      <c r="K16" s="18">
        <f>IF(AND(K$4&gt;=$D16,K$4&lt;=$E16),IF(Tareas!$K14="Hecho","✓","■"),"")</f>
        <v/>
      </c>
      <c r="L16" s="18">
        <f>IF(AND(L$4&gt;=$D16,L$4&lt;=$E16),IF(Tareas!$K14="Hecho","✓","■"),"")</f>
        <v/>
      </c>
      <c r="M16" s="18">
        <f>IF(AND(M$4&gt;=$D16,M$4&lt;=$E16),IF(Tareas!$K14="Hecho","✓","■"),"")</f>
        <v/>
      </c>
      <c r="N16" s="18">
        <f>IF(AND(N$4&gt;=$D16,N$4&lt;=$E16),IF(Tareas!$K14="Hecho","✓","■"),"")</f>
        <v/>
      </c>
      <c r="O16" s="18">
        <f>IF(AND(O$4&gt;=$D16,O$4&lt;=$E16),IF(Tareas!$K14="Hecho","✓","■"),"")</f>
        <v/>
      </c>
      <c r="P16" s="18">
        <f>IF(AND(P$4&gt;=$D16,P$4&lt;=$E16),IF(Tareas!$K14="Hecho","✓","■"),"")</f>
        <v/>
      </c>
      <c r="Q16" s="18">
        <f>IF(AND(Q$4&gt;=$D16,Q$4&lt;=$E16),IF(Tareas!$K14="Hecho","✓","■"),"")</f>
        <v/>
      </c>
      <c r="R16" s="18">
        <f>IF(AND(R$4&gt;=$D16,R$4&lt;=$E16),IF(Tareas!$K14="Hecho","✓","■"),"")</f>
        <v/>
      </c>
    </row>
    <row r="17" ht="26" customHeight="1">
      <c r="A17" s="15">
        <f>Tareas!A15</f>
        <v/>
      </c>
      <c r="B17" s="15">
        <f>Tareas!B15</f>
        <v/>
      </c>
      <c r="C17" s="16">
        <f>Tareas!C15</f>
        <v/>
      </c>
      <c r="D17" s="17">
        <f>Tareas!E15</f>
        <v/>
      </c>
      <c r="E17" s="17">
        <f>Tareas!F15</f>
        <v/>
      </c>
      <c r="F17" s="18">
        <f>IF(AND(F$4&gt;=$D17,F$4&lt;=$E17),IF(Tareas!$K15="Hecho","✓","■"),"")</f>
        <v/>
      </c>
      <c r="G17" s="18">
        <f>IF(AND(G$4&gt;=$D17,G$4&lt;=$E17),IF(Tareas!$K15="Hecho","✓","■"),"")</f>
        <v/>
      </c>
      <c r="H17" s="18">
        <f>IF(AND(H$4&gt;=$D17,H$4&lt;=$E17),IF(Tareas!$K15="Hecho","✓","■"),"")</f>
        <v/>
      </c>
      <c r="I17" s="18">
        <f>IF(AND(I$4&gt;=$D17,I$4&lt;=$E17),IF(Tareas!$K15="Hecho","✓","■"),"")</f>
        <v/>
      </c>
      <c r="J17" s="18">
        <f>IF(AND(J$4&gt;=$D17,J$4&lt;=$E17),IF(Tareas!$K15="Hecho","✓","■"),"")</f>
        <v/>
      </c>
      <c r="K17" s="18">
        <f>IF(AND(K$4&gt;=$D17,K$4&lt;=$E17),IF(Tareas!$K15="Hecho","✓","■"),"")</f>
        <v/>
      </c>
      <c r="L17" s="18">
        <f>IF(AND(L$4&gt;=$D17,L$4&lt;=$E17),IF(Tareas!$K15="Hecho","✓","■"),"")</f>
        <v/>
      </c>
      <c r="M17" s="18">
        <f>IF(AND(M$4&gt;=$D17,M$4&lt;=$E17),IF(Tareas!$K15="Hecho","✓","■"),"")</f>
        <v/>
      </c>
      <c r="N17" s="18">
        <f>IF(AND(N$4&gt;=$D17,N$4&lt;=$E17),IF(Tareas!$K15="Hecho","✓","■"),"")</f>
        <v/>
      </c>
      <c r="O17" s="18">
        <f>IF(AND(O$4&gt;=$D17,O$4&lt;=$E17),IF(Tareas!$K15="Hecho","✓","■"),"")</f>
        <v/>
      </c>
      <c r="P17" s="18">
        <f>IF(AND(P$4&gt;=$D17,P$4&lt;=$E17),IF(Tareas!$K15="Hecho","✓","■"),"")</f>
        <v/>
      </c>
      <c r="Q17" s="18">
        <f>IF(AND(Q$4&gt;=$D17,Q$4&lt;=$E17),IF(Tareas!$K15="Hecho","✓","■"),"")</f>
        <v/>
      </c>
      <c r="R17" s="18">
        <f>IF(AND(R$4&gt;=$D17,R$4&lt;=$E17),IF(Tareas!$K15="Hecho","✓","■"),"")</f>
        <v/>
      </c>
    </row>
    <row r="18" ht="26" customHeight="1">
      <c r="A18" s="15">
        <f>Tareas!A16</f>
        <v/>
      </c>
      <c r="B18" s="15">
        <f>Tareas!B16</f>
        <v/>
      </c>
      <c r="C18" s="16">
        <f>Tareas!C16</f>
        <v/>
      </c>
      <c r="D18" s="17">
        <f>Tareas!E16</f>
        <v/>
      </c>
      <c r="E18" s="17">
        <f>Tareas!F16</f>
        <v/>
      </c>
      <c r="F18" s="18">
        <f>IF(AND(F$4&gt;=$D18,F$4&lt;=$E18),IF(Tareas!$K16="Hecho","✓","■"),"")</f>
        <v/>
      </c>
      <c r="G18" s="18">
        <f>IF(AND(G$4&gt;=$D18,G$4&lt;=$E18),IF(Tareas!$K16="Hecho","✓","■"),"")</f>
        <v/>
      </c>
      <c r="H18" s="18">
        <f>IF(AND(H$4&gt;=$D18,H$4&lt;=$E18),IF(Tareas!$K16="Hecho","✓","■"),"")</f>
        <v/>
      </c>
      <c r="I18" s="18">
        <f>IF(AND(I$4&gt;=$D18,I$4&lt;=$E18),IF(Tareas!$K16="Hecho","✓","■"),"")</f>
        <v/>
      </c>
      <c r="J18" s="18">
        <f>IF(AND(J$4&gt;=$D18,J$4&lt;=$E18),IF(Tareas!$K16="Hecho","✓","■"),"")</f>
        <v/>
      </c>
      <c r="K18" s="18">
        <f>IF(AND(K$4&gt;=$D18,K$4&lt;=$E18),IF(Tareas!$K16="Hecho","✓","■"),"")</f>
        <v/>
      </c>
      <c r="L18" s="18">
        <f>IF(AND(L$4&gt;=$D18,L$4&lt;=$E18),IF(Tareas!$K16="Hecho","✓","■"),"")</f>
        <v/>
      </c>
      <c r="M18" s="18">
        <f>IF(AND(M$4&gt;=$D18,M$4&lt;=$E18),IF(Tareas!$K16="Hecho","✓","■"),"")</f>
        <v/>
      </c>
      <c r="N18" s="18">
        <f>IF(AND(N$4&gt;=$D18,N$4&lt;=$E18),IF(Tareas!$K16="Hecho","✓","■"),"")</f>
        <v/>
      </c>
      <c r="O18" s="18">
        <f>IF(AND(O$4&gt;=$D18,O$4&lt;=$E18),IF(Tareas!$K16="Hecho","✓","■"),"")</f>
        <v/>
      </c>
      <c r="P18" s="18">
        <f>IF(AND(P$4&gt;=$D18,P$4&lt;=$E18),IF(Tareas!$K16="Hecho","✓","■"),"")</f>
        <v/>
      </c>
      <c r="Q18" s="18">
        <f>IF(AND(Q$4&gt;=$D18,Q$4&lt;=$E18),IF(Tareas!$K16="Hecho","✓","■"),"")</f>
        <v/>
      </c>
      <c r="R18" s="18">
        <f>IF(AND(R$4&gt;=$D18,R$4&lt;=$E18),IF(Tareas!$K16="Hecho","✓","■"),"")</f>
        <v/>
      </c>
    </row>
    <row r="19">
      <c r="A19" s="13" t="inlineStr">
        <is>
          <t>PRODUCTO</t>
        </is>
      </c>
      <c r="B19" s="14" t="n"/>
      <c r="C19" s="14" t="n"/>
      <c r="D19" s="14" t="n"/>
      <c r="E19" s="14" t="n"/>
      <c r="F19" s="14" t="n"/>
      <c r="G19" s="14" t="n"/>
      <c r="H19" s="14" t="n"/>
      <c r="I19" s="14" t="n"/>
      <c r="J19" s="14" t="n"/>
      <c r="K19" s="14" t="n"/>
      <c r="L19" s="14" t="n"/>
      <c r="M19" s="14" t="n"/>
      <c r="N19" s="14" t="n"/>
      <c r="O19" s="14" t="n"/>
      <c r="P19" s="14" t="n"/>
      <c r="Q19" s="14" t="n"/>
      <c r="R19" s="14" t="n"/>
    </row>
    <row r="20" ht="26" customHeight="1">
      <c r="A20" s="15">
        <f>Tareas!A17</f>
        <v/>
      </c>
      <c r="B20" s="15">
        <f>Tareas!B17</f>
        <v/>
      </c>
      <c r="C20" s="16">
        <f>Tareas!C17</f>
        <v/>
      </c>
      <c r="D20" s="17">
        <f>Tareas!E17</f>
        <v/>
      </c>
      <c r="E20" s="17">
        <f>Tareas!F17</f>
        <v/>
      </c>
      <c r="F20" s="18">
        <f>IF(AND(F$4&gt;=$D20,F$4&lt;=$E20),IF(Tareas!$K17="Hecho","✓","■"),"")</f>
        <v/>
      </c>
      <c r="G20" s="18">
        <f>IF(AND(G$4&gt;=$D20,G$4&lt;=$E20),IF(Tareas!$K17="Hecho","✓","■"),"")</f>
        <v/>
      </c>
      <c r="H20" s="18">
        <f>IF(AND(H$4&gt;=$D20,H$4&lt;=$E20),IF(Tareas!$K17="Hecho","✓","■"),"")</f>
        <v/>
      </c>
      <c r="I20" s="18">
        <f>IF(AND(I$4&gt;=$D20,I$4&lt;=$E20),IF(Tareas!$K17="Hecho","✓","■"),"")</f>
        <v/>
      </c>
      <c r="J20" s="18">
        <f>IF(AND(J$4&gt;=$D20,J$4&lt;=$E20),IF(Tareas!$K17="Hecho","✓","■"),"")</f>
        <v/>
      </c>
      <c r="K20" s="18">
        <f>IF(AND(K$4&gt;=$D20,K$4&lt;=$E20),IF(Tareas!$K17="Hecho","✓","■"),"")</f>
        <v/>
      </c>
      <c r="L20" s="18">
        <f>IF(AND(L$4&gt;=$D20,L$4&lt;=$E20),IF(Tareas!$K17="Hecho","✓","■"),"")</f>
        <v/>
      </c>
      <c r="M20" s="18">
        <f>IF(AND(M$4&gt;=$D20,M$4&lt;=$E20),IF(Tareas!$K17="Hecho","✓","■"),"")</f>
        <v/>
      </c>
      <c r="N20" s="18">
        <f>IF(AND(N$4&gt;=$D20,N$4&lt;=$E20),IF(Tareas!$K17="Hecho","✓","■"),"")</f>
        <v/>
      </c>
      <c r="O20" s="18">
        <f>IF(AND(O$4&gt;=$D20,O$4&lt;=$E20),IF(Tareas!$K17="Hecho","✓","■"),"")</f>
        <v/>
      </c>
      <c r="P20" s="18">
        <f>IF(AND(P$4&gt;=$D20,P$4&lt;=$E20),IF(Tareas!$K17="Hecho","✓","■"),"")</f>
        <v/>
      </c>
      <c r="Q20" s="18">
        <f>IF(AND(Q$4&gt;=$D20,Q$4&lt;=$E20),IF(Tareas!$K17="Hecho","✓","■"),"")</f>
        <v/>
      </c>
      <c r="R20" s="18">
        <f>IF(AND(R$4&gt;=$D20,R$4&lt;=$E20),IF(Tareas!$K17="Hecho","✓","■"),"")</f>
        <v/>
      </c>
    </row>
    <row r="21" ht="26" customHeight="1">
      <c r="A21" s="15">
        <f>Tareas!A18</f>
        <v/>
      </c>
      <c r="B21" s="15">
        <f>Tareas!B18</f>
        <v/>
      </c>
      <c r="C21" s="16">
        <f>Tareas!C18</f>
        <v/>
      </c>
      <c r="D21" s="17">
        <f>Tareas!E18</f>
        <v/>
      </c>
      <c r="E21" s="17">
        <f>Tareas!F18</f>
        <v/>
      </c>
      <c r="F21" s="18">
        <f>IF(AND(F$4&gt;=$D21,F$4&lt;=$E21),IF(Tareas!$K18="Hecho","✓","■"),"")</f>
        <v/>
      </c>
      <c r="G21" s="18">
        <f>IF(AND(G$4&gt;=$D21,G$4&lt;=$E21),IF(Tareas!$K18="Hecho","✓","■"),"")</f>
        <v/>
      </c>
      <c r="H21" s="18">
        <f>IF(AND(H$4&gt;=$D21,H$4&lt;=$E21),IF(Tareas!$K18="Hecho","✓","■"),"")</f>
        <v/>
      </c>
      <c r="I21" s="18">
        <f>IF(AND(I$4&gt;=$D21,I$4&lt;=$E21),IF(Tareas!$K18="Hecho","✓","■"),"")</f>
        <v/>
      </c>
      <c r="J21" s="18">
        <f>IF(AND(J$4&gt;=$D21,J$4&lt;=$E21),IF(Tareas!$K18="Hecho","✓","■"),"")</f>
        <v/>
      </c>
      <c r="K21" s="18">
        <f>IF(AND(K$4&gt;=$D21,K$4&lt;=$E21),IF(Tareas!$K18="Hecho","✓","■"),"")</f>
        <v/>
      </c>
      <c r="L21" s="18">
        <f>IF(AND(L$4&gt;=$D21,L$4&lt;=$E21),IF(Tareas!$K18="Hecho","✓","■"),"")</f>
        <v/>
      </c>
      <c r="M21" s="18">
        <f>IF(AND(M$4&gt;=$D21,M$4&lt;=$E21),IF(Tareas!$K18="Hecho","✓","■"),"")</f>
        <v/>
      </c>
      <c r="N21" s="18">
        <f>IF(AND(N$4&gt;=$D21,N$4&lt;=$E21),IF(Tareas!$K18="Hecho","✓","■"),"")</f>
        <v/>
      </c>
      <c r="O21" s="18">
        <f>IF(AND(O$4&gt;=$D21,O$4&lt;=$E21),IF(Tareas!$K18="Hecho","✓","■"),"")</f>
        <v/>
      </c>
      <c r="P21" s="18">
        <f>IF(AND(P$4&gt;=$D21,P$4&lt;=$E21),IF(Tareas!$K18="Hecho","✓","■"),"")</f>
        <v/>
      </c>
      <c r="Q21" s="18">
        <f>IF(AND(Q$4&gt;=$D21,Q$4&lt;=$E21),IF(Tareas!$K18="Hecho","✓","■"),"")</f>
        <v/>
      </c>
      <c r="R21" s="18">
        <f>IF(AND(R$4&gt;=$D21,R$4&lt;=$E21),IF(Tareas!$K18="Hecho","✓","■"),"")</f>
        <v/>
      </c>
    </row>
    <row r="22" ht="26" customHeight="1">
      <c r="A22" s="15">
        <f>Tareas!A19</f>
        <v/>
      </c>
      <c r="B22" s="15">
        <f>Tareas!B19</f>
        <v/>
      </c>
      <c r="C22" s="16">
        <f>Tareas!C19</f>
        <v/>
      </c>
      <c r="D22" s="17">
        <f>Tareas!E19</f>
        <v/>
      </c>
      <c r="E22" s="17">
        <f>Tareas!F19</f>
        <v/>
      </c>
      <c r="F22" s="18">
        <f>IF(AND(F$4&gt;=$D22,F$4&lt;=$E22),IF(Tareas!$K19="Hecho","✓","■"),"")</f>
        <v/>
      </c>
      <c r="G22" s="18">
        <f>IF(AND(G$4&gt;=$D22,G$4&lt;=$E22),IF(Tareas!$K19="Hecho","✓","■"),"")</f>
        <v/>
      </c>
      <c r="H22" s="18">
        <f>IF(AND(H$4&gt;=$D22,H$4&lt;=$E22),IF(Tareas!$K19="Hecho","✓","■"),"")</f>
        <v/>
      </c>
      <c r="I22" s="18">
        <f>IF(AND(I$4&gt;=$D22,I$4&lt;=$E22),IF(Tareas!$K19="Hecho","✓","■"),"")</f>
        <v/>
      </c>
      <c r="J22" s="18">
        <f>IF(AND(J$4&gt;=$D22,J$4&lt;=$E22),IF(Tareas!$K19="Hecho","✓","■"),"")</f>
        <v/>
      </c>
      <c r="K22" s="18">
        <f>IF(AND(K$4&gt;=$D22,K$4&lt;=$E22),IF(Tareas!$K19="Hecho","✓","■"),"")</f>
        <v/>
      </c>
      <c r="L22" s="18">
        <f>IF(AND(L$4&gt;=$D22,L$4&lt;=$E22),IF(Tareas!$K19="Hecho","✓","■"),"")</f>
        <v/>
      </c>
      <c r="M22" s="18">
        <f>IF(AND(M$4&gt;=$D22,M$4&lt;=$E22),IF(Tareas!$K19="Hecho","✓","■"),"")</f>
        <v/>
      </c>
      <c r="N22" s="18">
        <f>IF(AND(N$4&gt;=$D22,N$4&lt;=$E22),IF(Tareas!$K19="Hecho","✓","■"),"")</f>
        <v/>
      </c>
      <c r="O22" s="18">
        <f>IF(AND(O$4&gt;=$D22,O$4&lt;=$E22),IF(Tareas!$K19="Hecho","✓","■"),"")</f>
        <v/>
      </c>
      <c r="P22" s="18">
        <f>IF(AND(P$4&gt;=$D22,P$4&lt;=$E22),IF(Tareas!$K19="Hecho","✓","■"),"")</f>
        <v/>
      </c>
      <c r="Q22" s="18">
        <f>IF(AND(Q$4&gt;=$D22,Q$4&lt;=$E22),IF(Tareas!$K19="Hecho","✓","■"),"")</f>
        <v/>
      </c>
      <c r="R22" s="18">
        <f>IF(AND(R$4&gt;=$D22,R$4&lt;=$E22),IF(Tareas!$K19="Hecho","✓","■"),"")</f>
        <v/>
      </c>
    </row>
    <row r="23" ht="26" customHeight="1">
      <c r="A23" s="15">
        <f>Tareas!A20</f>
        <v/>
      </c>
      <c r="B23" s="15">
        <f>Tareas!B20</f>
        <v/>
      </c>
      <c r="C23" s="16">
        <f>Tareas!C20</f>
        <v/>
      </c>
      <c r="D23" s="17">
        <f>Tareas!E20</f>
        <v/>
      </c>
      <c r="E23" s="17">
        <f>Tareas!F20</f>
        <v/>
      </c>
      <c r="F23" s="18">
        <f>IF(AND(F$4&gt;=$D23,F$4&lt;=$E23),IF(Tareas!$K20="Hecho","✓","■"),"")</f>
        <v/>
      </c>
      <c r="G23" s="18">
        <f>IF(AND(G$4&gt;=$D23,G$4&lt;=$E23),IF(Tareas!$K20="Hecho","✓","■"),"")</f>
        <v/>
      </c>
      <c r="H23" s="18">
        <f>IF(AND(H$4&gt;=$D23,H$4&lt;=$E23),IF(Tareas!$K20="Hecho","✓","■"),"")</f>
        <v/>
      </c>
      <c r="I23" s="18">
        <f>IF(AND(I$4&gt;=$D23,I$4&lt;=$E23),IF(Tareas!$K20="Hecho","✓","■"),"")</f>
        <v/>
      </c>
      <c r="J23" s="18">
        <f>IF(AND(J$4&gt;=$D23,J$4&lt;=$E23),IF(Tareas!$K20="Hecho","✓","■"),"")</f>
        <v/>
      </c>
      <c r="K23" s="18">
        <f>IF(AND(K$4&gt;=$D23,K$4&lt;=$E23),IF(Tareas!$K20="Hecho","✓","■"),"")</f>
        <v/>
      </c>
      <c r="L23" s="18">
        <f>IF(AND(L$4&gt;=$D23,L$4&lt;=$E23),IF(Tareas!$K20="Hecho","✓","■"),"")</f>
        <v/>
      </c>
      <c r="M23" s="18">
        <f>IF(AND(M$4&gt;=$D23,M$4&lt;=$E23),IF(Tareas!$K20="Hecho","✓","■"),"")</f>
        <v/>
      </c>
      <c r="N23" s="18">
        <f>IF(AND(N$4&gt;=$D23,N$4&lt;=$E23),IF(Tareas!$K20="Hecho","✓","■"),"")</f>
        <v/>
      </c>
      <c r="O23" s="18">
        <f>IF(AND(O$4&gt;=$D23,O$4&lt;=$E23),IF(Tareas!$K20="Hecho","✓","■"),"")</f>
        <v/>
      </c>
      <c r="P23" s="18">
        <f>IF(AND(P$4&gt;=$D23,P$4&lt;=$E23),IF(Tareas!$K20="Hecho","✓","■"),"")</f>
        <v/>
      </c>
      <c r="Q23" s="18">
        <f>IF(AND(Q$4&gt;=$D23,Q$4&lt;=$E23),IF(Tareas!$K20="Hecho","✓","■"),"")</f>
        <v/>
      </c>
      <c r="R23" s="18">
        <f>IF(AND(R$4&gt;=$D23,R$4&lt;=$E23),IF(Tareas!$K20="Hecho","✓","■"),"")</f>
        <v/>
      </c>
    </row>
    <row r="24" ht="26" customHeight="1">
      <c r="A24" s="15">
        <f>Tareas!A21</f>
        <v/>
      </c>
      <c r="B24" s="15">
        <f>Tareas!B21</f>
        <v/>
      </c>
      <c r="C24" s="16">
        <f>Tareas!C21</f>
        <v/>
      </c>
      <c r="D24" s="17">
        <f>Tareas!E21</f>
        <v/>
      </c>
      <c r="E24" s="17">
        <f>Tareas!F21</f>
        <v/>
      </c>
      <c r="F24" s="18">
        <f>IF(AND(F$4&gt;=$D24,F$4&lt;=$E24),IF(Tareas!$K21="Hecho","✓","■"),"")</f>
        <v/>
      </c>
      <c r="G24" s="18">
        <f>IF(AND(G$4&gt;=$D24,G$4&lt;=$E24),IF(Tareas!$K21="Hecho","✓","■"),"")</f>
        <v/>
      </c>
      <c r="H24" s="18">
        <f>IF(AND(H$4&gt;=$D24,H$4&lt;=$E24),IF(Tareas!$K21="Hecho","✓","■"),"")</f>
        <v/>
      </c>
      <c r="I24" s="18">
        <f>IF(AND(I$4&gt;=$D24,I$4&lt;=$E24),IF(Tareas!$K21="Hecho","✓","■"),"")</f>
        <v/>
      </c>
      <c r="J24" s="18">
        <f>IF(AND(J$4&gt;=$D24,J$4&lt;=$E24),IF(Tareas!$K21="Hecho","✓","■"),"")</f>
        <v/>
      </c>
      <c r="K24" s="18">
        <f>IF(AND(K$4&gt;=$D24,K$4&lt;=$E24),IF(Tareas!$K21="Hecho","✓","■"),"")</f>
        <v/>
      </c>
      <c r="L24" s="18">
        <f>IF(AND(L$4&gt;=$D24,L$4&lt;=$E24),IF(Tareas!$K21="Hecho","✓","■"),"")</f>
        <v/>
      </c>
      <c r="M24" s="18">
        <f>IF(AND(M$4&gt;=$D24,M$4&lt;=$E24),IF(Tareas!$K21="Hecho","✓","■"),"")</f>
        <v/>
      </c>
      <c r="N24" s="18">
        <f>IF(AND(N$4&gt;=$D24,N$4&lt;=$E24),IF(Tareas!$K21="Hecho","✓","■"),"")</f>
        <v/>
      </c>
      <c r="O24" s="18">
        <f>IF(AND(O$4&gt;=$D24,O$4&lt;=$E24),IF(Tareas!$K21="Hecho","✓","■"),"")</f>
        <v/>
      </c>
      <c r="P24" s="18">
        <f>IF(AND(P$4&gt;=$D24,P$4&lt;=$E24),IF(Tareas!$K21="Hecho","✓","■"),"")</f>
        <v/>
      </c>
      <c r="Q24" s="18">
        <f>IF(AND(Q$4&gt;=$D24,Q$4&lt;=$E24),IF(Tareas!$K21="Hecho","✓","■"),"")</f>
        <v/>
      </c>
      <c r="R24" s="18">
        <f>IF(AND(R$4&gt;=$D24,R$4&lt;=$E24),IF(Tareas!$K21="Hecho","✓","■"),"")</f>
        <v/>
      </c>
    </row>
    <row r="25" ht="26" customHeight="1">
      <c r="A25" s="15">
        <f>Tareas!A22</f>
        <v/>
      </c>
      <c r="B25" s="15">
        <f>Tareas!B22</f>
        <v/>
      </c>
      <c r="C25" s="16">
        <f>Tareas!C22</f>
        <v/>
      </c>
      <c r="D25" s="17">
        <f>Tareas!E22</f>
        <v/>
      </c>
      <c r="E25" s="17">
        <f>Tareas!F22</f>
        <v/>
      </c>
      <c r="F25" s="18">
        <f>IF(AND(F$4&gt;=$D25,F$4&lt;=$E25),IF(Tareas!$K22="Hecho","✓","■"),"")</f>
        <v/>
      </c>
      <c r="G25" s="18">
        <f>IF(AND(G$4&gt;=$D25,G$4&lt;=$E25),IF(Tareas!$K22="Hecho","✓","■"),"")</f>
        <v/>
      </c>
      <c r="H25" s="18">
        <f>IF(AND(H$4&gt;=$D25,H$4&lt;=$E25),IF(Tareas!$K22="Hecho","✓","■"),"")</f>
        <v/>
      </c>
      <c r="I25" s="18">
        <f>IF(AND(I$4&gt;=$D25,I$4&lt;=$E25),IF(Tareas!$K22="Hecho","✓","■"),"")</f>
        <v/>
      </c>
      <c r="J25" s="18">
        <f>IF(AND(J$4&gt;=$D25,J$4&lt;=$E25),IF(Tareas!$K22="Hecho","✓","■"),"")</f>
        <v/>
      </c>
      <c r="K25" s="18">
        <f>IF(AND(K$4&gt;=$D25,K$4&lt;=$E25),IF(Tareas!$K22="Hecho","✓","■"),"")</f>
        <v/>
      </c>
      <c r="L25" s="18">
        <f>IF(AND(L$4&gt;=$D25,L$4&lt;=$E25),IF(Tareas!$K22="Hecho","✓","■"),"")</f>
        <v/>
      </c>
      <c r="M25" s="18">
        <f>IF(AND(M$4&gt;=$D25,M$4&lt;=$E25),IF(Tareas!$K22="Hecho","✓","■"),"")</f>
        <v/>
      </c>
      <c r="N25" s="18">
        <f>IF(AND(N$4&gt;=$D25,N$4&lt;=$E25),IF(Tareas!$K22="Hecho","✓","■"),"")</f>
        <v/>
      </c>
      <c r="O25" s="18">
        <f>IF(AND(O$4&gt;=$D25,O$4&lt;=$E25),IF(Tareas!$K22="Hecho","✓","■"),"")</f>
        <v/>
      </c>
      <c r="P25" s="18">
        <f>IF(AND(P$4&gt;=$D25,P$4&lt;=$E25),IF(Tareas!$K22="Hecho","✓","■"),"")</f>
        <v/>
      </c>
      <c r="Q25" s="18">
        <f>IF(AND(Q$4&gt;=$D25,Q$4&lt;=$E25),IF(Tareas!$K22="Hecho","✓","■"),"")</f>
        <v/>
      </c>
      <c r="R25" s="18">
        <f>IF(AND(R$4&gt;=$D25,R$4&lt;=$E25),IF(Tareas!$K22="Hecho","✓","■"),"")</f>
        <v/>
      </c>
    </row>
    <row r="26" ht="26" customHeight="1">
      <c r="A26" s="15">
        <f>Tareas!A23</f>
        <v/>
      </c>
      <c r="B26" s="15">
        <f>Tareas!B23</f>
        <v/>
      </c>
      <c r="C26" s="16">
        <f>Tareas!C23</f>
        <v/>
      </c>
      <c r="D26" s="17">
        <f>Tareas!E23</f>
        <v/>
      </c>
      <c r="E26" s="17">
        <f>Tareas!F23</f>
        <v/>
      </c>
      <c r="F26" s="18">
        <f>IF(AND(F$4&gt;=$D26,F$4&lt;=$E26),IF(Tareas!$K23="Hecho","✓","■"),"")</f>
        <v/>
      </c>
      <c r="G26" s="18">
        <f>IF(AND(G$4&gt;=$D26,G$4&lt;=$E26),IF(Tareas!$K23="Hecho","✓","■"),"")</f>
        <v/>
      </c>
      <c r="H26" s="18">
        <f>IF(AND(H$4&gt;=$D26,H$4&lt;=$E26),IF(Tareas!$K23="Hecho","✓","■"),"")</f>
        <v/>
      </c>
      <c r="I26" s="18">
        <f>IF(AND(I$4&gt;=$D26,I$4&lt;=$E26),IF(Tareas!$K23="Hecho","✓","■"),"")</f>
        <v/>
      </c>
      <c r="J26" s="18">
        <f>IF(AND(J$4&gt;=$D26,J$4&lt;=$E26),IF(Tareas!$K23="Hecho","✓","■"),"")</f>
        <v/>
      </c>
      <c r="K26" s="18">
        <f>IF(AND(K$4&gt;=$D26,K$4&lt;=$E26),IF(Tareas!$K23="Hecho","✓","■"),"")</f>
        <v/>
      </c>
      <c r="L26" s="18">
        <f>IF(AND(L$4&gt;=$D26,L$4&lt;=$E26),IF(Tareas!$K23="Hecho","✓","■"),"")</f>
        <v/>
      </c>
      <c r="M26" s="18">
        <f>IF(AND(M$4&gt;=$D26,M$4&lt;=$E26),IF(Tareas!$K23="Hecho","✓","■"),"")</f>
        <v/>
      </c>
      <c r="N26" s="18">
        <f>IF(AND(N$4&gt;=$D26,N$4&lt;=$E26),IF(Tareas!$K23="Hecho","✓","■"),"")</f>
        <v/>
      </c>
      <c r="O26" s="18">
        <f>IF(AND(O$4&gt;=$D26,O$4&lt;=$E26),IF(Tareas!$K23="Hecho","✓","■"),"")</f>
        <v/>
      </c>
      <c r="P26" s="18">
        <f>IF(AND(P$4&gt;=$D26,P$4&lt;=$E26),IF(Tareas!$K23="Hecho","✓","■"),"")</f>
        <v/>
      </c>
      <c r="Q26" s="18">
        <f>IF(AND(Q$4&gt;=$D26,Q$4&lt;=$E26),IF(Tareas!$K23="Hecho","✓","■"),"")</f>
        <v/>
      </c>
      <c r="R26" s="18">
        <f>IF(AND(R$4&gt;=$D26,R$4&lt;=$E26),IF(Tareas!$K23="Hecho","✓","■"),"")</f>
        <v/>
      </c>
    </row>
    <row r="27" ht="26" customHeight="1">
      <c r="A27" s="15">
        <f>Tareas!A24</f>
        <v/>
      </c>
      <c r="B27" s="15">
        <f>Tareas!B24</f>
        <v/>
      </c>
      <c r="C27" s="16">
        <f>Tareas!C24</f>
        <v/>
      </c>
      <c r="D27" s="17">
        <f>Tareas!E24</f>
        <v/>
      </c>
      <c r="E27" s="17">
        <f>Tareas!F24</f>
        <v/>
      </c>
      <c r="F27" s="18">
        <f>IF(AND(F$4&gt;=$D27,F$4&lt;=$E27),IF(Tareas!$K24="Hecho","✓","■"),"")</f>
        <v/>
      </c>
      <c r="G27" s="18">
        <f>IF(AND(G$4&gt;=$D27,G$4&lt;=$E27),IF(Tareas!$K24="Hecho","✓","■"),"")</f>
        <v/>
      </c>
      <c r="H27" s="18">
        <f>IF(AND(H$4&gt;=$D27,H$4&lt;=$E27),IF(Tareas!$K24="Hecho","✓","■"),"")</f>
        <v/>
      </c>
      <c r="I27" s="18">
        <f>IF(AND(I$4&gt;=$D27,I$4&lt;=$E27),IF(Tareas!$K24="Hecho","✓","■"),"")</f>
        <v/>
      </c>
      <c r="J27" s="18">
        <f>IF(AND(J$4&gt;=$D27,J$4&lt;=$E27),IF(Tareas!$K24="Hecho","✓","■"),"")</f>
        <v/>
      </c>
      <c r="K27" s="18">
        <f>IF(AND(K$4&gt;=$D27,K$4&lt;=$E27),IF(Tareas!$K24="Hecho","✓","■"),"")</f>
        <v/>
      </c>
      <c r="L27" s="18">
        <f>IF(AND(L$4&gt;=$D27,L$4&lt;=$E27),IF(Tareas!$K24="Hecho","✓","■"),"")</f>
        <v/>
      </c>
      <c r="M27" s="18">
        <f>IF(AND(M$4&gt;=$D27,M$4&lt;=$E27),IF(Tareas!$K24="Hecho","✓","■"),"")</f>
        <v/>
      </c>
      <c r="N27" s="18">
        <f>IF(AND(N$4&gt;=$D27,N$4&lt;=$E27),IF(Tareas!$K24="Hecho","✓","■"),"")</f>
        <v/>
      </c>
      <c r="O27" s="18">
        <f>IF(AND(O$4&gt;=$D27,O$4&lt;=$E27),IF(Tareas!$K24="Hecho","✓","■"),"")</f>
        <v/>
      </c>
      <c r="P27" s="18">
        <f>IF(AND(P$4&gt;=$D27,P$4&lt;=$E27),IF(Tareas!$K24="Hecho","✓","■"),"")</f>
        <v/>
      </c>
      <c r="Q27" s="18">
        <f>IF(AND(Q$4&gt;=$D27,Q$4&lt;=$E27),IF(Tareas!$K24="Hecho","✓","■"),"")</f>
        <v/>
      </c>
      <c r="R27" s="18">
        <f>IF(AND(R$4&gt;=$D27,R$4&lt;=$E27),IF(Tareas!$K24="Hecho","✓","■"),"")</f>
        <v/>
      </c>
    </row>
    <row r="28" ht="26" customHeight="1">
      <c r="A28" s="15">
        <f>Tareas!A25</f>
        <v/>
      </c>
      <c r="B28" s="15">
        <f>Tareas!B25</f>
        <v/>
      </c>
      <c r="C28" s="16">
        <f>Tareas!C25</f>
        <v/>
      </c>
      <c r="D28" s="17">
        <f>Tareas!E25</f>
        <v/>
      </c>
      <c r="E28" s="17">
        <f>Tareas!F25</f>
        <v/>
      </c>
      <c r="F28" s="18">
        <f>IF(AND(F$4&gt;=$D28,F$4&lt;=$E28),IF(Tareas!$K25="Hecho","✓","■"),"")</f>
        <v/>
      </c>
      <c r="G28" s="18">
        <f>IF(AND(G$4&gt;=$D28,G$4&lt;=$E28),IF(Tareas!$K25="Hecho","✓","■"),"")</f>
        <v/>
      </c>
      <c r="H28" s="18">
        <f>IF(AND(H$4&gt;=$D28,H$4&lt;=$E28),IF(Tareas!$K25="Hecho","✓","■"),"")</f>
        <v/>
      </c>
      <c r="I28" s="18">
        <f>IF(AND(I$4&gt;=$D28,I$4&lt;=$E28),IF(Tareas!$K25="Hecho","✓","■"),"")</f>
        <v/>
      </c>
      <c r="J28" s="18">
        <f>IF(AND(J$4&gt;=$D28,J$4&lt;=$E28),IF(Tareas!$K25="Hecho","✓","■"),"")</f>
        <v/>
      </c>
      <c r="K28" s="18">
        <f>IF(AND(K$4&gt;=$D28,K$4&lt;=$E28),IF(Tareas!$K25="Hecho","✓","■"),"")</f>
        <v/>
      </c>
      <c r="L28" s="18">
        <f>IF(AND(L$4&gt;=$D28,L$4&lt;=$E28),IF(Tareas!$K25="Hecho","✓","■"),"")</f>
        <v/>
      </c>
      <c r="M28" s="18">
        <f>IF(AND(M$4&gt;=$D28,M$4&lt;=$E28),IF(Tareas!$K25="Hecho","✓","■"),"")</f>
        <v/>
      </c>
      <c r="N28" s="18">
        <f>IF(AND(N$4&gt;=$D28,N$4&lt;=$E28),IF(Tareas!$K25="Hecho","✓","■"),"")</f>
        <v/>
      </c>
      <c r="O28" s="18">
        <f>IF(AND(O$4&gt;=$D28,O$4&lt;=$E28),IF(Tareas!$K25="Hecho","✓","■"),"")</f>
        <v/>
      </c>
      <c r="P28" s="18">
        <f>IF(AND(P$4&gt;=$D28,P$4&lt;=$E28),IF(Tareas!$K25="Hecho","✓","■"),"")</f>
        <v/>
      </c>
      <c r="Q28" s="18">
        <f>IF(AND(Q$4&gt;=$D28,Q$4&lt;=$E28),IF(Tareas!$K25="Hecho","✓","■"),"")</f>
        <v/>
      </c>
      <c r="R28" s="18">
        <f>IF(AND(R$4&gt;=$D28,R$4&lt;=$E28),IF(Tareas!$K25="Hecho","✓","■"),"")</f>
        <v/>
      </c>
    </row>
    <row r="29" ht="26" customHeight="1">
      <c r="A29" s="15">
        <f>Tareas!A26</f>
        <v/>
      </c>
      <c r="B29" s="15">
        <f>Tareas!B26</f>
        <v/>
      </c>
      <c r="C29" s="16">
        <f>Tareas!C26</f>
        <v/>
      </c>
      <c r="D29" s="17">
        <f>Tareas!E26</f>
        <v/>
      </c>
      <c r="E29" s="17">
        <f>Tareas!F26</f>
        <v/>
      </c>
      <c r="F29" s="18">
        <f>IF(AND(F$4&gt;=$D29,F$4&lt;=$E29),IF(Tareas!$K26="Hecho","✓","■"),"")</f>
        <v/>
      </c>
      <c r="G29" s="18">
        <f>IF(AND(G$4&gt;=$D29,G$4&lt;=$E29),IF(Tareas!$K26="Hecho","✓","■"),"")</f>
        <v/>
      </c>
      <c r="H29" s="18">
        <f>IF(AND(H$4&gt;=$D29,H$4&lt;=$E29),IF(Tareas!$K26="Hecho","✓","■"),"")</f>
        <v/>
      </c>
      <c r="I29" s="18">
        <f>IF(AND(I$4&gt;=$D29,I$4&lt;=$E29),IF(Tareas!$K26="Hecho","✓","■"),"")</f>
        <v/>
      </c>
      <c r="J29" s="18">
        <f>IF(AND(J$4&gt;=$D29,J$4&lt;=$E29),IF(Tareas!$K26="Hecho","✓","■"),"")</f>
        <v/>
      </c>
      <c r="K29" s="18">
        <f>IF(AND(K$4&gt;=$D29,K$4&lt;=$E29),IF(Tareas!$K26="Hecho","✓","■"),"")</f>
        <v/>
      </c>
      <c r="L29" s="18">
        <f>IF(AND(L$4&gt;=$D29,L$4&lt;=$E29),IF(Tareas!$K26="Hecho","✓","■"),"")</f>
        <v/>
      </c>
      <c r="M29" s="18">
        <f>IF(AND(M$4&gt;=$D29,M$4&lt;=$E29),IF(Tareas!$K26="Hecho","✓","■"),"")</f>
        <v/>
      </c>
      <c r="N29" s="18">
        <f>IF(AND(N$4&gt;=$D29,N$4&lt;=$E29),IF(Tareas!$K26="Hecho","✓","■"),"")</f>
        <v/>
      </c>
      <c r="O29" s="18">
        <f>IF(AND(O$4&gt;=$D29,O$4&lt;=$E29),IF(Tareas!$K26="Hecho","✓","■"),"")</f>
        <v/>
      </c>
      <c r="P29" s="18">
        <f>IF(AND(P$4&gt;=$D29,P$4&lt;=$E29),IF(Tareas!$K26="Hecho","✓","■"),"")</f>
        <v/>
      </c>
      <c r="Q29" s="18">
        <f>IF(AND(Q$4&gt;=$D29,Q$4&lt;=$E29),IF(Tareas!$K26="Hecho","✓","■"),"")</f>
        <v/>
      </c>
      <c r="R29" s="18">
        <f>IF(AND(R$4&gt;=$D29,R$4&lt;=$E29),IF(Tareas!$K26="Hecho","✓","■"),"")</f>
        <v/>
      </c>
    </row>
    <row r="30" ht="26" customHeight="1">
      <c r="A30" s="15">
        <f>Tareas!A27</f>
        <v/>
      </c>
      <c r="B30" s="15">
        <f>Tareas!B27</f>
        <v/>
      </c>
      <c r="C30" s="16">
        <f>Tareas!C27</f>
        <v/>
      </c>
      <c r="D30" s="17">
        <f>Tareas!E27</f>
        <v/>
      </c>
      <c r="E30" s="17">
        <f>Tareas!F27</f>
        <v/>
      </c>
      <c r="F30" s="18">
        <f>IF(AND(F$4&gt;=$D30,F$4&lt;=$E30),IF(Tareas!$K27="Hecho","✓","■"),"")</f>
        <v/>
      </c>
      <c r="G30" s="18">
        <f>IF(AND(G$4&gt;=$D30,G$4&lt;=$E30),IF(Tareas!$K27="Hecho","✓","■"),"")</f>
        <v/>
      </c>
      <c r="H30" s="18">
        <f>IF(AND(H$4&gt;=$D30,H$4&lt;=$E30),IF(Tareas!$K27="Hecho","✓","■"),"")</f>
        <v/>
      </c>
      <c r="I30" s="18">
        <f>IF(AND(I$4&gt;=$D30,I$4&lt;=$E30),IF(Tareas!$K27="Hecho","✓","■"),"")</f>
        <v/>
      </c>
      <c r="J30" s="18">
        <f>IF(AND(J$4&gt;=$D30,J$4&lt;=$E30),IF(Tareas!$K27="Hecho","✓","■"),"")</f>
        <v/>
      </c>
      <c r="K30" s="18">
        <f>IF(AND(K$4&gt;=$D30,K$4&lt;=$E30),IF(Tareas!$K27="Hecho","✓","■"),"")</f>
        <v/>
      </c>
      <c r="L30" s="18">
        <f>IF(AND(L$4&gt;=$D30,L$4&lt;=$E30),IF(Tareas!$K27="Hecho","✓","■"),"")</f>
        <v/>
      </c>
      <c r="M30" s="18">
        <f>IF(AND(M$4&gt;=$D30,M$4&lt;=$E30),IF(Tareas!$K27="Hecho","✓","■"),"")</f>
        <v/>
      </c>
      <c r="N30" s="18">
        <f>IF(AND(N$4&gt;=$D30,N$4&lt;=$E30),IF(Tareas!$K27="Hecho","✓","■"),"")</f>
        <v/>
      </c>
      <c r="O30" s="18">
        <f>IF(AND(O$4&gt;=$D30,O$4&lt;=$E30),IF(Tareas!$K27="Hecho","✓","■"),"")</f>
        <v/>
      </c>
      <c r="P30" s="18">
        <f>IF(AND(P$4&gt;=$D30,P$4&lt;=$E30),IF(Tareas!$K27="Hecho","✓","■"),"")</f>
        <v/>
      </c>
      <c r="Q30" s="18">
        <f>IF(AND(Q$4&gt;=$D30,Q$4&lt;=$E30),IF(Tareas!$K27="Hecho","✓","■"),"")</f>
        <v/>
      </c>
      <c r="R30" s="18">
        <f>IF(AND(R$4&gt;=$D30,R$4&lt;=$E30),IF(Tareas!$K27="Hecho","✓","■"),"")</f>
        <v/>
      </c>
    </row>
    <row r="31" ht="26" customHeight="1">
      <c r="A31" s="15">
        <f>Tareas!A28</f>
        <v/>
      </c>
      <c r="B31" s="15">
        <f>Tareas!B28</f>
        <v/>
      </c>
      <c r="C31" s="16">
        <f>Tareas!C28</f>
        <v/>
      </c>
      <c r="D31" s="17">
        <f>Tareas!E28</f>
        <v/>
      </c>
      <c r="E31" s="17">
        <f>Tareas!F28</f>
        <v/>
      </c>
      <c r="F31" s="18">
        <f>IF(AND(F$4&gt;=$D31,F$4&lt;=$E31),IF(Tareas!$K28="Hecho","✓","■"),"")</f>
        <v/>
      </c>
      <c r="G31" s="18">
        <f>IF(AND(G$4&gt;=$D31,G$4&lt;=$E31),IF(Tareas!$K28="Hecho","✓","■"),"")</f>
        <v/>
      </c>
      <c r="H31" s="18">
        <f>IF(AND(H$4&gt;=$D31,H$4&lt;=$E31),IF(Tareas!$K28="Hecho","✓","■"),"")</f>
        <v/>
      </c>
      <c r="I31" s="18">
        <f>IF(AND(I$4&gt;=$D31,I$4&lt;=$E31),IF(Tareas!$K28="Hecho","✓","■"),"")</f>
        <v/>
      </c>
      <c r="J31" s="18">
        <f>IF(AND(J$4&gt;=$D31,J$4&lt;=$E31),IF(Tareas!$K28="Hecho","✓","■"),"")</f>
        <v/>
      </c>
      <c r="K31" s="18">
        <f>IF(AND(K$4&gt;=$D31,K$4&lt;=$E31),IF(Tareas!$K28="Hecho","✓","■"),"")</f>
        <v/>
      </c>
      <c r="L31" s="18">
        <f>IF(AND(L$4&gt;=$D31,L$4&lt;=$E31),IF(Tareas!$K28="Hecho","✓","■"),"")</f>
        <v/>
      </c>
      <c r="M31" s="18">
        <f>IF(AND(M$4&gt;=$D31,M$4&lt;=$E31),IF(Tareas!$K28="Hecho","✓","■"),"")</f>
        <v/>
      </c>
      <c r="N31" s="18">
        <f>IF(AND(N$4&gt;=$D31,N$4&lt;=$E31),IF(Tareas!$K28="Hecho","✓","■"),"")</f>
        <v/>
      </c>
      <c r="O31" s="18">
        <f>IF(AND(O$4&gt;=$D31,O$4&lt;=$E31),IF(Tareas!$K28="Hecho","✓","■"),"")</f>
        <v/>
      </c>
      <c r="P31" s="18">
        <f>IF(AND(P$4&gt;=$D31,P$4&lt;=$E31),IF(Tareas!$K28="Hecho","✓","■"),"")</f>
        <v/>
      </c>
      <c r="Q31" s="18">
        <f>IF(AND(Q$4&gt;=$D31,Q$4&lt;=$E31),IF(Tareas!$K28="Hecho","✓","■"),"")</f>
        <v/>
      </c>
      <c r="R31" s="18">
        <f>IF(AND(R$4&gt;=$D31,R$4&lt;=$E31),IF(Tareas!$K28="Hecho","✓","■"),"")</f>
        <v/>
      </c>
    </row>
    <row r="32" ht="26" customHeight="1">
      <c r="A32" s="15">
        <f>Tareas!A29</f>
        <v/>
      </c>
      <c r="B32" s="15">
        <f>Tareas!B29</f>
        <v/>
      </c>
      <c r="C32" s="16">
        <f>Tareas!C29</f>
        <v/>
      </c>
      <c r="D32" s="17">
        <f>Tareas!E29</f>
        <v/>
      </c>
      <c r="E32" s="17">
        <f>Tareas!F29</f>
        <v/>
      </c>
      <c r="F32" s="18">
        <f>IF(AND(F$4&gt;=$D32,F$4&lt;=$E32),IF(Tareas!$K29="Hecho","✓","■"),"")</f>
        <v/>
      </c>
      <c r="G32" s="18">
        <f>IF(AND(G$4&gt;=$D32,G$4&lt;=$E32),IF(Tareas!$K29="Hecho","✓","■"),"")</f>
        <v/>
      </c>
      <c r="H32" s="18">
        <f>IF(AND(H$4&gt;=$D32,H$4&lt;=$E32),IF(Tareas!$K29="Hecho","✓","■"),"")</f>
        <v/>
      </c>
      <c r="I32" s="18">
        <f>IF(AND(I$4&gt;=$D32,I$4&lt;=$E32),IF(Tareas!$K29="Hecho","✓","■"),"")</f>
        <v/>
      </c>
      <c r="J32" s="18">
        <f>IF(AND(J$4&gt;=$D32,J$4&lt;=$E32),IF(Tareas!$K29="Hecho","✓","■"),"")</f>
        <v/>
      </c>
      <c r="K32" s="18">
        <f>IF(AND(K$4&gt;=$D32,K$4&lt;=$E32),IF(Tareas!$K29="Hecho","✓","■"),"")</f>
        <v/>
      </c>
      <c r="L32" s="18">
        <f>IF(AND(L$4&gt;=$D32,L$4&lt;=$E32),IF(Tareas!$K29="Hecho","✓","■"),"")</f>
        <v/>
      </c>
      <c r="M32" s="18">
        <f>IF(AND(M$4&gt;=$D32,M$4&lt;=$E32),IF(Tareas!$K29="Hecho","✓","■"),"")</f>
        <v/>
      </c>
      <c r="N32" s="18">
        <f>IF(AND(N$4&gt;=$D32,N$4&lt;=$E32),IF(Tareas!$K29="Hecho","✓","■"),"")</f>
        <v/>
      </c>
      <c r="O32" s="18">
        <f>IF(AND(O$4&gt;=$D32,O$4&lt;=$E32),IF(Tareas!$K29="Hecho","✓","■"),"")</f>
        <v/>
      </c>
      <c r="P32" s="18">
        <f>IF(AND(P$4&gt;=$D32,P$4&lt;=$E32),IF(Tareas!$K29="Hecho","✓","■"),"")</f>
        <v/>
      </c>
      <c r="Q32" s="18">
        <f>IF(AND(Q$4&gt;=$D32,Q$4&lt;=$E32),IF(Tareas!$K29="Hecho","✓","■"),"")</f>
        <v/>
      </c>
      <c r="R32" s="18">
        <f>IF(AND(R$4&gt;=$D32,R$4&lt;=$E32),IF(Tareas!$K29="Hecho","✓","■"),"")</f>
        <v/>
      </c>
    </row>
    <row r="33">
      <c r="A33" s="13" t="inlineStr">
        <is>
          <t>ENTREVISTAS</t>
        </is>
      </c>
      <c r="B33" s="14" t="n"/>
      <c r="C33" s="14" t="n"/>
      <c r="D33" s="14" t="n"/>
      <c r="E33" s="14" t="n"/>
      <c r="F33" s="14" t="n"/>
      <c r="G33" s="14" t="n"/>
      <c r="H33" s="14" t="n"/>
      <c r="I33" s="14" t="n"/>
      <c r="J33" s="14" t="n"/>
      <c r="K33" s="14" t="n"/>
      <c r="L33" s="14" t="n"/>
      <c r="M33" s="14" t="n"/>
      <c r="N33" s="14" t="n"/>
      <c r="O33" s="14" t="n"/>
      <c r="P33" s="14" t="n"/>
      <c r="Q33" s="14" t="n"/>
      <c r="R33" s="14" t="n"/>
    </row>
    <row r="34" ht="26" customHeight="1">
      <c r="A34" s="15">
        <f>Tareas!A30</f>
        <v/>
      </c>
      <c r="B34" s="15">
        <f>Tareas!B30</f>
        <v/>
      </c>
      <c r="C34" s="16">
        <f>Tareas!C30</f>
        <v/>
      </c>
      <c r="D34" s="17">
        <f>Tareas!E30</f>
        <v/>
      </c>
      <c r="E34" s="17">
        <f>Tareas!F30</f>
        <v/>
      </c>
      <c r="F34" s="18">
        <f>IF(AND(F$4&gt;=$D34,F$4&lt;=$E34),IF(Tareas!$K30="Hecho","✓","■"),"")</f>
        <v/>
      </c>
      <c r="G34" s="18">
        <f>IF(AND(G$4&gt;=$D34,G$4&lt;=$E34),IF(Tareas!$K30="Hecho","✓","■"),"")</f>
        <v/>
      </c>
      <c r="H34" s="18">
        <f>IF(AND(H$4&gt;=$D34,H$4&lt;=$E34),IF(Tareas!$K30="Hecho","✓","■"),"")</f>
        <v/>
      </c>
      <c r="I34" s="18">
        <f>IF(AND(I$4&gt;=$D34,I$4&lt;=$E34),IF(Tareas!$K30="Hecho","✓","■"),"")</f>
        <v/>
      </c>
      <c r="J34" s="18">
        <f>IF(AND(J$4&gt;=$D34,J$4&lt;=$E34),IF(Tareas!$K30="Hecho","✓","■"),"")</f>
        <v/>
      </c>
      <c r="K34" s="18">
        <f>IF(AND(K$4&gt;=$D34,K$4&lt;=$E34),IF(Tareas!$K30="Hecho","✓","■"),"")</f>
        <v/>
      </c>
      <c r="L34" s="18">
        <f>IF(AND(L$4&gt;=$D34,L$4&lt;=$E34),IF(Tareas!$K30="Hecho","✓","■"),"")</f>
        <v/>
      </c>
      <c r="M34" s="18">
        <f>IF(AND(M$4&gt;=$D34,M$4&lt;=$E34),IF(Tareas!$K30="Hecho","✓","■"),"")</f>
        <v/>
      </c>
      <c r="N34" s="18">
        <f>IF(AND(N$4&gt;=$D34,N$4&lt;=$E34),IF(Tareas!$K30="Hecho","✓","■"),"")</f>
        <v/>
      </c>
      <c r="O34" s="18">
        <f>IF(AND(O$4&gt;=$D34,O$4&lt;=$E34),IF(Tareas!$K30="Hecho","✓","■"),"")</f>
        <v/>
      </c>
      <c r="P34" s="18">
        <f>IF(AND(P$4&gt;=$D34,P$4&lt;=$E34),IF(Tareas!$K30="Hecho","✓","■"),"")</f>
        <v/>
      </c>
      <c r="Q34" s="18">
        <f>IF(AND(Q$4&gt;=$D34,Q$4&lt;=$E34),IF(Tareas!$K30="Hecho","✓","■"),"")</f>
        <v/>
      </c>
      <c r="R34" s="18">
        <f>IF(AND(R$4&gt;=$D34,R$4&lt;=$E34),IF(Tareas!$K30="Hecho","✓","■"),"")</f>
        <v/>
      </c>
    </row>
    <row r="35" ht="26" customHeight="1">
      <c r="A35" s="15">
        <f>Tareas!A31</f>
        <v/>
      </c>
      <c r="B35" s="15">
        <f>Tareas!B31</f>
        <v/>
      </c>
      <c r="C35" s="16">
        <f>Tareas!C31</f>
        <v/>
      </c>
      <c r="D35" s="17">
        <f>Tareas!E31</f>
        <v/>
      </c>
      <c r="E35" s="17">
        <f>Tareas!F31</f>
        <v/>
      </c>
      <c r="F35" s="18">
        <f>IF(AND(F$4&gt;=$D35,F$4&lt;=$E35),IF(Tareas!$K31="Hecho","✓","■"),"")</f>
        <v/>
      </c>
      <c r="G35" s="18">
        <f>IF(AND(G$4&gt;=$D35,G$4&lt;=$E35),IF(Tareas!$K31="Hecho","✓","■"),"")</f>
        <v/>
      </c>
      <c r="H35" s="18">
        <f>IF(AND(H$4&gt;=$D35,H$4&lt;=$E35),IF(Tareas!$K31="Hecho","✓","■"),"")</f>
        <v/>
      </c>
      <c r="I35" s="18">
        <f>IF(AND(I$4&gt;=$D35,I$4&lt;=$E35),IF(Tareas!$K31="Hecho","✓","■"),"")</f>
        <v/>
      </c>
      <c r="J35" s="18">
        <f>IF(AND(J$4&gt;=$D35,J$4&lt;=$E35),IF(Tareas!$K31="Hecho","✓","■"),"")</f>
        <v/>
      </c>
      <c r="K35" s="18">
        <f>IF(AND(K$4&gt;=$D35,K$4&lt;=$E35),IF(Tareas!$K31="Hecho","✓","■"),"")</f>
        <v/>
      </c>
      <c r="L35" s="18">
        <f>IF(AND(L$4&gt;=$D35,L$4&lt;=$E35),IF(Tareas!$K31="Hecho","✓","■"),"")</f>
        <v/>
      </c>
      <c r="M35" s="18">
        <f>IF(AND(M$4&gt;=$D35,M$4&lt;=$E35),IF(Tareas!$K31="Hecho","✓","■"),"")</f>
        <v/>
      </c>
      <c r="N35" s="18">
        <f>IF(AND(N$4&gt;=$D35,N$4&lt;=$E35),IF(Tareas!$K31="Hecho","✓","■"),"")</f>
        <v/>
      </c>
      <c r="O35" s="18">
        <f>IF(AND(O$4&gt;=$D35,O$4&lt;=$E35),IF(Tareas!$K31="Hecho","✓","■"),"")</f>
        <v/>
      </c>
      <c r="P35" s="18">
        <f>IF(AND(P$4&gt;=$D35,P$4&lt;=$E35),IF(Tareas!$K31="Hecho","✓","■"),"")</f>
        <v/>
      </c>
      <c r="Q35" s="18">
        <f>IF(AND(Q$4&gt;=$D35,Q$4&lt;=$E35),IF(Tareas!$K31="Hecho","✓","■"),"")</f>
        <v/>
      </c>
      <c r="R35" s="18">
        <f>IF(AND(R$4&gt;=$D35,R$4&lt;=$E35),IF(Tareas!$K31="Hecho","✓","■"),"")</f>
        <v/>
      </c>
    </row>
    <row r="36" ht="26" customHeight="1">
      <c r="A36" s="15">
        <f>Tareas!A32</f>
        <v/>
      </c>
      <c r="B36" s="15">
        <f>Tareas!B32</f>
        <v/>
      </c>
      <c r="C36" s="16">
        <f>Tareas!C32</f>
        <v/>
      </c>
      <c r="D36" s="17">
        <f>Tareas!E32</f>
        <v/>
      </c>
      <c r="E36" s="17">
        <f>Tareas!F32</f>
        <v/>
      </c>
      <c r="F36" s="18">
        <f>IF(AND(F$4&gt;=$D36,F$4&lt;=$E36),IF(Tareas!$K32="Hecho","✓","■"),"")</f>
        <v/>
      </c>
      <c r="G36" s="18">
        <f>IF(AND(G$4&gt;=$D36,G$4&lt;=$E36),IF(Tareas!$K32="Hecho","✓","■"),"")</f>
        <v/>
      </c>
      <c r="H36" s="18">
        <f>IF(AND(H$4&gt;=$D36,H$4&lt;=$E36),IF(Tareas!$K32="Hecho","✓","■"),"")</f>
        <v/>
      </c>
      <c r="I36" s="18">
        <f>IF(AND(I$4&gt;=$D36,I$4&lt;=$E36),IF(Tareas!$K32="Hecho","✓","■"),"")</f>
        <v/>
      </c>
      <c r="J36" s="18">
        <f>IF(AND(J$4&gt;=$D36,J$4&lt;=$E36),IF(Tareas!$K32="Hecho","✓","■"),"")</f>
        <v/>
      </c>
      <c r="K36" s="18">
        <f>IF(AND(K$4&gt;=$D36,K$4&lt;=$E36),IF(Tareas!$K32="Hecho","✓","■"),"")</f>
        <v/>
      </c>
      <c r="L36" s="18">
        <f>IF(AND(L$4&gt;=$D36,L$4&lt;=$E36),IF(Tareas!$K32="Hecho","✓","■"),"")</f>
        <v/>
      </c>
      <c r="M36" s="18">
        <f>IF(AND(M$4&gt;=$D36,M$4&lt;=$E36),IF(Tareas!$K32="Hecho","✓","■"),"")</f>
        <v/>
      </c>
      <c r="N36" s="18">
        <f>IF(AND(N$4&gt;=$D36,N$4&lt;=$E36),IF(Tareas!$K32="Hecho","✓","■"),"")</f>
        <v/>
      </c>
      <c r="O36" s="18">
        <f>IF(AND(O$4&gt;=$D36,O$4&lt;=$E36),IF(Tareas!$K32="Hecho","✓","■"),"")</f>
        <v/>
      </c>
      <c r="P36" s="18">
        <f>IF(AND(P$4&gt;=$D36,P$4&lt;=$E36),IF(Tareas!$K32="Hecho","✓","■"),"")</f>
        <v/>
      </c>
      <c r="Q36" s="18">
        <f>IF(AND(Q$4&gt;=$D36,Q$4&lt;=$E36),IF(Tareas!$K32="Hecho","✓","■"),"")</f>
        <v/>
      </c>
      <c r="R36" s="18">
        <f>IF(AND(R$4&gt;=$D36,R$4&lt;=$E36),IF(Tareas!$K32="Hecho","✓","■"),"")</f>
        <v/>
      </c>
    </row>
    <row r="37">
      <c r="A37" s="13" t="inlineStr">
        <is>
          <t>TALLERES</t>
        </is>
      </c>
      <c r="B37" s="14" t="n"/>
      <c r="C37" s="14" t="n"/>
      <c r="D37" s="14" t="n"/>
      <c r="E37" s="14" t="n"/>
      <c r="F37" s="14" t="n"/>
      <c r="G37" s="14" t="n"/>
      <c r="H37" s="14" t="n"/>
      <c r="I37" s="14" t="n"/>
      <c r="J37" s="14" t="n"/>
      <c r="K37" s="14" t="n"/>
      <c r="L37" s="14" t="n"/>
      <c r="M37" s="14" t="n"/>
      <c r="N37" s="14" t="n"/>
      <c r="O37" s="14" t="n"/>
      <c r="P37" s="14" t="n"/>
      <c r="Q37" s="14" t="n"/>
      <c r="R37" s="14" t="n"/>
    </row>
    <row r="38" ht="26" customHeight="1">
      <c r="A38" s="15">
        <f>Tareas!A33</f>
        <v/>
      </c>
      <c r="B38" s="15">
        <f>Tareas!B33</f>
        <v/>
      </c>
      <c r="C38" s="16">
        <f>Tareas!C33</f>
        <v/>
      </c>
      <c r="D38" s="17">
        <f>Tareas!E33</f>
        <v/>
      </c>
      <c r="E38" s="17">
        <f>Tareas!F33</f>
        <v/>
      </c>
      <c r="F38" s="18">
        <f>IF(AND(F$4&gt;=$D38,F$4&lt;=$E38),IF(Tareas!$K33="Hecho","✓","■"),"")</f>
        <v/>
      </c>
      <c r="G38" s="18">
        <f>IF(AND(G$4&gt;=$D38,G$4&lt;=$E38),IF(Tareas!$K33="Hecho","✓","■"),"")</f>
        <v/>
      </c>
      <c r="H38" s="18">
        <f>IF(AND(H$4&gt;=$D38,H$4&lt;=$E38),IF(Tareas!$K33="Hecho","✓","■"),"")</f>
        <v/>
      </c>
      <c r="I38" s="18">
        <f>IF(AND(I$4&gt;=$D38,I$4&lt;=$E38),IF(Tareas!$K33="Hecho","✓","■"),"")</f>
        <v/>
      </c>
      <c r="J38" s="18">
        <f>IF(AND(J$4&gt;=$D38,J$4&lt;=$E38),IF(Tareas!$K33="Hecho","✓","■"),"")</f>
        <v/>
      </c>
      <c r="K38" s="18">
        <f>IF(AND(K$4&gt;=$D38,K$4&lt;=$E38),IF(Tareas!$K33="Hecho","✓","■"),"")</f>
        <v/>
      </c>
      <c r="L38" s="18">
        <f>IF(AND(L$4&gt;=$D38,L$4&lt;=$E38),IF(Tareas!$K33="Hecho","✓","■"),"")</f>
        <v/>
      </c>
      <c r="M38" s="18">
        <f>IF(AND(M$4&gt;=$D38,M$4&lt;=$E38),IF(Tareas!$K33="Hecho","✓","■"),"")</f>
        <v/>
      </c>
      <c r="N38" s="18">
        <f>IF(AND(N$4&gt;=$D38,N$4&lt;=$E38),IF(Tareas!$K33="Hecho","✓","■"),"")</f>
        <v/>
      </c>
      <c r="O38" s="18">
        <f>IF(AND(O$4&gt;=$D38,O$4&lt;=$E38),IF(Tareas!$K33="Hecho","✓","■"),"")</f>
        <v/>
      </c>
      <c r="P38" s="18">
        <f>IF(AND(P$4&gt;=$D38,P$4&lt;=$E38),IF(Tareas!$K33="Hecho","✓","■"),"")</f>
        <v/>
      </c>
      <c r="Q38" s="18">
        <f>IF(AND(Q$4&gt;=$D38,Q$4&lt;=$E38),IF(Tareas!$K33="Hecho","✓","■"),"")</f>
        <v/>
      </c>
      <c r="R38" s="18">
        <f>IF(AND(R$4&gt;=$D38,R$4&lt;=$E38),IF(Tareas!$K33="Hecho","✓","■"),"")</f>
        <v/>
      </c>
    </row>
    <row r="39" ht="26" customHeight="1">
      <c r="A39" s="15">
        <f>Tareas!A34</f>
        <v/>
      </c>
      <c r="B39" s="15">
        <f>Tareas!B34</f>
        <v/>
      </c>
      <c r="C39" s="16">
        <f>Tareas!C34</f>
        <v/>
      </c>
      <c r="D39" s="17">
        <f>Tareas!E34</f>
        <v/>
      </c>
      <c r="E39" s="17">
        <f>Tareas!F34</f>
        <v/>
      </c>
      <c r="F39" s="18">
        <f>IF(AND(F$4&gt;=$D39,F$4&lt;=$E39),IF(Tareas!$K34="Hecho","✓","■"),"")</f>
        <v/>
      </c>
      <c r="G39" s="18">
        <f>IF(AND(G$4&gt;=$D39,G$4&lt;=$E39),IF(Tareas!$K34="Hecho","✓","■"),"")</f>
        <v/>
      </c>
      <c r="H39" s="18">
        <f>IF(AND(H$4&gt;=$D39,H$4&lt;=$E39),IF(Tareas!$K34="Hecho","✓","■"),"")</f>
        <v/>
      </c>
      <c r="I39" s="18">
        <f>IF(AND(I$4&gt;=$D39,I$4&lt;=$E39),IF(Tareas!$K34="Hecho","✓","■"),"")</f>
        <v/>
      </c>
      <c r="J39" s="18">
        <f>IF(AND(J$4&gt;=$D39,J$4&lt;=$E39),IF(Tareas!$K34="Hecho","✓","■"),"")</f>
        <v/>
      </c>
      <c r="K39" s="18">
        <f>IF(AND(K$4&gt;=$D39,K$4&lt;=$E39),IF(Tareas!$K34="Hecho","✓","■"),"")</f>
        <v/>
      </c>
      <c r="L39" s="18">
        <f>IF(AND(L$4&gt;=$D39,L$4&lt;=$E39),IF(Tareas!$K34="Hecho","✓","■"),"")</f>
        <v/>
      </c>
      <c r="M39" s="18">
        <f>IF(AND(M$4&gt;=$D39,M$4&lt;=$E39),IF(Tareas!$K34="Hecho","✓","■"),"")</f>
        <v/>
      </c>
      <c r="N39" s="18">
        <f>IF(AND(N$4&gt;=$D39,N$4&lt;=$E39),IF(Tareas!$K34="Hecho","✓","■"),"")</f>
        <v/>
      </c>
      <c r="O39" s="18">
        <f>IF(AND(O$4&gt;=$D39,O$4&lt;=$E39),IF(Tareas!$K34="Hecho","✓","■"),"")</f>
        <v/>
      </c>
      <c r="P39" s="18">
        <f>IF(AND(P$4&gt;=$D39,P$4&lt;=$E39),IF(Tareas!$K34="Hecho","✓","■"),"")</f>
        <v/>
      </c>
      <c r="Q39" s="18">
        <f>IF(AND(Q$4&gt;=$D39,Q$4&lt;=$E39),IF(Tareas!$K34="Hecho","✓","■"),"")</f>
        <v/>
      </c>
      <c r="R39" s="18">
        <f>IF(AND(R$4&gt;=$D39,R$4&lt;=$E39),IF(Tareas!$K34="Hecho","✓","■"),"")</f>
        <v/>
      </c>
    </row>
    <row r="40" ht="26" customHeight="1">
      <c r="A40" s="15">
        <f>Tareas!A35</f>
        <v/>
      </c>
      <c r="B40" s="15">
        <f>Tareas!B35</f>
        <v/>
      </c>
      <c r="C40" s="16">
        <f>Tareas!C35</f>
        <v/>
      </c>
      <c r="D40" s="17">
        <f>Tareas!E35</f>
        <v/>
      </c>
      <c r="E40" s="17">
        <f>Tareas!F35</f>
        <v/>
      </c>
      <c r="F40" s="18">
        <f>IF(AND(F$4&gt;=$D40,F$4&lt;=$E40),IF(Tareas!$K35="Hecho","✓","■"),"")</f>
        <v/>
      </c>
      <c r="G40" s="18">
        <f>IF(AND(G$4&gt;=$D40,G$4&lt;=$E40),IF(Tareas!$K35="Hecho","✓","■"),"")</f>
        <v/>
      </c>
      <c r="H40" s="18">
        <f>IF(AND(H$4&gt;=$D40,H$4&lt;=$E40),IF(Tareas!$K35="Hecho","✓","■"),"")</f>
        <v/>
      </c>
      <c r="I40" s="18">
        <f>IF(AND(I$4&gt;=$D40,I$4&lt;=$E40),IF(Tareas!$K35="Hecho","✓","■"),"")</f>
        <v/>
      </c>
      <c r="J40" s="18">
        <f>IF(AND(J$4&gt;=$D40,J$4&lt;=$E40),IF(Tareas!$K35="Hecho","✓","■"),"")</f>
        <v/>
      </c>
      <c r="K40" s="18">
        <f>IF(AND(K$4&gt;=$D40,K$4&lt;=$E40),IF(Tareas!$K35="Hecho","✓","■"),"")</f>
        <v/>
      </c>
      <c r="L40" s="18">
        <f>IF(AND(L$4&gt;=$D40,L$4&lt;=$E40),IF(Tareas!$K35="Hecho","✓","■"),"")</f>
        <v/>
      </c>
      <c r="M40" s="18">
        <f>IF(AND(M$4&gt;=$D40,M$4&lt;=$E40),IF(Tareas!$K35="Hecho","✓","■"),"")</f>
        <v/>
      </c>
      <c r="N40" s="18">
        <f>IF(AND(N$4&gt;=$D40,N$4&lt;=$E40),IF(Tareas!$K35="Hecho","✓","■"),"")</f>
        <v/>
      </c>
      <c r="O40" s="18">
        <f>IF(AND(O$4&gt;=$D40,O$4&lt;=$E40),IF(Tareas!$K35="Hecho","✓","■"),"")</f>
        <v/>
      </c>
      <c r="P40" s="18">
        <f>IF(AND(P$4&gt;=$D40,P$4&lt;=$E40),IF(Tareas!$K35="Hecho","✓","■"),"")</f>
        <v/>
      </c>
      <c r="Q40" s="18">
        <f>IF(AND(Q$4&gt;=$D40,Q$4&lt;=$E40),IF(Tareas!$K35="Hecho","✓","■"),"")</f>
        <v/>
      </c>
      <c r="R40" s="18">
        <f>IF(AND(R$4&gt;=$D40,R$4&lt;=$E40),IF(Tareas!$K35="Hecho","✓","■"),"")</f>
        <v/>
      </c>
    </row>
    <row r="41" ht="26" customHeight="1">
      <c r="A41" s="15">
        <f>Tareas!A36</f>
        <v/>
      </c>
      <c r="B41" s="15">
        <f>Tareas!B36</f>
        <v/>
      </c>
      <c r="C41" s="16">
        <f>Tareas!C36</f>
        <v/>
      </c>
      <c r="D41" s="17">
        <f>Tareas!E36</f>
        <v/>
      </c>
      <c r="E41" s="17">
        <f>Tareas!F36</f>
        <v/>
      </c>
      <c r="F41" s="18">
        <f>IF(AND(F$4&gt;=$D41,F$4&lt;=$E41),IF(Tareas!$K36="Hecho","✓","■"),"")</f>
        <v/>
      </c>
      <c r="G41" s="18">
        <f>IF(AND(G$4&gt;=$D41,G$4&lt;=$E41),IF(Tareas!$K36="Hecho","✓","■"),"")</f>
        <v/>
      </c>
      <c r="H41" s="18">
        <f>IF(AND(H$4&gt;=$D41,H$4&lt;=$E41),IF(Tareas!$K36="Hecho","✓","■"),"")</f>
        <v/>
      </c>
      <c r="I41" s="18">
        <f>IF(AND(I$4&gt;=$D41,I$4&lt;=$E41),IF(Tareas!$K36="Hecho","✓","■"),"")</f>
        <v/>
      </c>
      <c r="J41" s="18">
        <f>IF(AND(J$4&gt;=$D41,J$4&lt;=$E41),IF(Tareas!$K36="Hecho","✓","■"),"")</f>
        <v/>
      </c>
      <c r="K41" s="18">
        <f>IF(AND(K$4&gt;=$D41,K$4&lt;=$E41),IF(Tareas!$K36="Hecho","✓","■"),"")</f>
        <v/>
      </c>
      <c r="L41" s="18">
        <f>IF(AND(L$4&gt;=$D41,L$4&lt;=$E41),IF(Tareas!$K36="Hecho","✓","■"),"")</f>
        <v/>
      </c>
      <c r="M41" s="18">
        <f>IF(AND(M$4&gt;=$D41,M$4&lt;=$E41),IF(Tareas!$K36="Hecho","✓","■"),"")</f>
        <v/>
      </c>
      <c r="N41" s="18">
        <f>IF(AND(N$4&gt;=$D41,N$4&lt;=$E41),IF(Tareas!$K36="Hecho","✓","■"),"")</f>
        <v/>
      </c>
      <c r="O41" s="18">
        <f>IF(AND(O$4&gt;=$D41,O$4&lt;=$E41),IF(Tareas!$K36="Hecho","✓","■"),"")</f>
        <v/>
      </c>
      <c r="P41" s="18">
        <f>IF(AND(P$4&gt;=$D41,P$4&lt;=$E41),IF(Tareas!$K36="Hecho","✓","■"),"")</f>
        <v/>
      </c>
      <c r="Q41" s="18">
        <f>IF(AND(Q$4&gt;=$D41,Q$4&lt;=$E41),IF(Tareas!$K36="Hecho","✓","■"),"")</f>
        <v/>
      </c>
      <c r="R41" s="18">
        <f>IF(AND(R$4&gt;=$D41,R$4&lt;=$E41),IF(Tareas!$K36="Hecho","✓","■"),"")</f>
        <v/>
      </c>
    </row>
    <row r="42">
      <c r="A42" s="13" t="inlineStr">
        <is>
          <t>CONTENIDO</t>
        </is>
      </c>
      <c r="B42" s="14" t="n"/>
      <c r="C42" s="14" t="n"/>
      <c r="D42" s="14" t="n"/>
      <c r="E42" s="14" t="n"/>
      <c r="F42" s="14" t="n"/>
      <c r="G42" s="14" t="n"/>
      <c r="H42" s="14" t="n"/>
      <c r="I42" s="14" t="n"/>
      <c r="J42" s="14" t="n"/>
      <c r="K42" s="14" t="n"/>
      <c r="L42" s="14" t="n"/>
      <c r="M42" s="14" t="n"/>
      <c r="N42" s="14" t="n"/>
      <c r="O42" s="14" t="n"/>
      <c r="P42" s="14" t="n"/>
      <c r="Q42" s="14" t="n"/>
      <c r="R42" s="14" t="n"/>
    </row>
    <row r="43" ht="26" customHeight="1">
      <c r="A43" s="15">
        <f>Tareas!A37</f>
        <v/>
      </c>
      <c r="B43" s="15">
        <f>Tareas!B37</f>
        <v/>
      </c>
      <c r="C43" s="16">
        <f>Tareas!C37</f>
        <v/>
      </c>
      <c r="D43" s="17">
        <f>Tareas!E37</f>
        <v/>
      </c>
      <c r="E43" s="17">
        <f>Tareas!F37</f>
        <v/>
      </c>
      <c r="F43" s="18">
        <f>IF(AND(F$4&gt;=$D43,F$4&lt;=$E43),IF(Tareas!$K37="Hecho","✓","■"),"")</f>
        <v/>
      </c>
      <c r="G43" s="18">
        <f>IF(AND(G$4&gt;=$D43,G$4&lt;=$E43),IF(Tareas!$K37="Hecho","✓","■"),"")</f>
        <v/>
      </c>
      <c r="H43" s="18">
        <f>IF(AND(H$4&gt;=$D43,H$4&lt;=$E43),IF(Tareas!$K37="Hecho","✓","■"),"")</f>
        <v/>
      </c>
      <c r="I43" s="18">
        <f>IF(AND(I$4&gt;=$D43,I$4&lt;=$E43),IF(Tareas!$K37="Hecho","✓","■"),"")</f>
        <v/>
      </c>
      <c r="J43" s="18">
        <f>IF(AND(J$4&gt;=$D43,J$4&lt;=$E43),IF(Tareas!$K37="Hecho","✓","■"),"")</f>
        <v/>
      </c>
      <c r="K43" s="18">
        <f>IF(AND(K$4&gt;=$D43,K$4&lt;=$E43),IF(Tareas!$K37="Hecho","✓","■"),"")</f>
        <v/>
      </c>
      <c r="L43" s="18">
        <f>IF(AND(L$4&gt;=$D43,L$4&lt;=$E43),IF(Tareas!$K37="Hecho","✓","■"),"")</f>
        <v/>
      </c>
      <c r="M43" s="18">
        <f>IF(AND(M$4&gt;=$D43,M$4&lt;=$E43),IF(Tareas!$K37="Hecho","✓","■"),"")</f>
        <v/>
      </c>
      <c r="N43" s="18">
        <f>IF(AND(N$4&gt;=$D43,N$4&lt;=$E43),IF(Tareas!$K37="Hecho","✓","■"),"")</f>
        <v/>
      </c>
      <c r="O43" s="18">
        <f>IF(AND(O$4&gt;=$D43,O$4&lt;=$E43),IF(Tareas!$K37="Hecho","✓","■"),"")</f>
        <v/>
      </c>
      <c r="P43" s="18">
        <f>IF(AND(P$4&gt;=$D43,P$4&lt;=$E43),IF(Tareas!$K37="Hecho","✓","■"),"")</f>
        <v/>
      </c>
      <c r="Q43" s="18">
        <f>IF(AND(Q$4&gt;=$D43,Q$4&lt;=$E43),IF(Tareas!$K37="Hecho","✓","■"),"")</f>
        <v/>
      </c>
      <c r="R43" s="18">
        <f>IF(AND(R$4&gt;=$D43,R$4&lt;=$E43),IF(Tareas!$K37="Hecho","✓","■"),"")</f>
        <v/>
      </c>
    </row>
    <row r="44" ht="26" customHeight="1">
      <c r="A44" s="15">
        <f>Tareas!A38</f>
        <v/>
      </c>
      <c r="B44" s="15">
        <f>Tareas!B38</f>
        <v/>
      </c>
      <c r="C44" s="16">
        <f>Tareas!C38</f>
        <v/>
      </c>
      <c r="D44" s="17">
        <f>Tareas!E38</f>
        <v/>
      </c>
      <c r="E44" s="17">
        <f>Tareas!F38</f>
        <v/>
      </c>
      <c r="F44" s="18">
        <f>IF(AND(F$4&gt;=$D44,F$4&lt;=$E44),IF(Tareas!$K38="Hecho","✓","■"),"")</f>
        <v/>
      </c>
      <c r="G44" s="18">
        <f>IF(AND(G$4&gt;=$D44,G$4&lt;=$E44),IF(Tareas!$K38="Hecho","✓","■"),"")</f>
        <v/>
      </c>
      <c r="H44" s="18">
        <f>IF(AND(H$4&gt;=$D44,H$4&lt;=$E44),IF(Tareas!$K38="Hecho","✓","■"),"")</f>
        <v/>
      </c>
      <c r="I44" s="18">
        <f>IF(AND(I$4&gt;=$D44,I$4&lt;=$E44),IF(Tareas!$K38="Hecho","✓","■"),"")</f>
        <v/>
      </c>
      <c r="J44" s="18">
        <f>IF(AND(J$4&gt;=$D44,J$4&lt;=$E44),IF(Tareas!$K38="Hecho","✓","■"),"")</f>
        <v/>
      </c>
      <c r="K44" s="18">
        <f>IF(AND(K$4&gt;=$D44,K$4&lt;=$E44),IF(Tareas!$K38="Hecho","✓","■"),"")</f>
        <v/>
      </c>
      <c r="L44" s="18">
        <f>IF(AND(L$4&gt;=$D44,L$4&lt;=$E44),IF(Tareas!$K38="Hecho","✓","■"),"")</f>
        <v/>
      </c>
      <c r="M44" s="18">
        <f>IF(AND(M$4&gt;=$D44,M$4&lt;=$E44),IF(Tareas!$K38="Hecho","✓","■"),"")</f>
        <v/>
      </c>
      <c r="N44" s="18">
        <f>IF(AND(N$4&gt;=$D44,N$4&lt;=$E44),IF(Tareas!$K38="Hecho","✓","■"),"")</f>
        <v/>
      </c>
      <c r="O44" s="18">
        <f>IF(AND(O$4&gt;=$D44,O$4&lt;=$E44),IF(Tareas!$K38="Hecho","✓","■"),"")</f>
        <v/>
      </c>
      <c r="P44" s="18">
        <f>IF(AND(P$4&gt;=$D44,P$4&lt;=$E44),IF(Tareas!$K38="Hecho","✓","■"),"")</f>
        <v/>
      </c>
      <c r="Q44" s="18">
        <f>IF(AND(Q$4&gt;=$D44,Q$4&lt;=$E44),IF(Tareas!$K38="Hecho","✓","■"),"")</f>
        <v/>
      </c>
      <c r="R44" s="18">
        <f>IF(AND(R$4&gt;=$D44,R$4&lt;=$E44),IF(Tareas!$K38="Hecho","✓","■"),"")</f>
        <v/>
      </c>
    </row>
    <row r="45" ht="26" customHeight="1">
      <c r="A45" s="15">
        <f>Tareas!A39</f>
        <v/>
      </c>
      <c r="B45" s="15">
        <f>Tareas!B39</f>
        <v/>
      </c>
      <c r="C45" s="16">
        <f>Tareas!C39</f>
        <v/>
      </c>
      <c r="D45" s="17">
        <f>Tareas!E39</f>
        <v/>
      </c>
      <c r="E45" s="17">
        <f>Tareas!F39</f>
        <v/>
      </c>
      <c r="F45" s="18">
        <f>IF(AND(F$4&gt;=$D45,F$4&lt;=$E45),IF(Tareas!$K39="Hecho","✓","■"),"")</f>
        <v/>
      </c>
      <c r="G45" s="18">
        <f>IF(AND(G$4&gt;=$D45,G$4&lt;=$E45),IF(Tareas!$K39="Hecho","✓","■"),"")</f>
        <v/>
      </c>
      <c r="H45" s="18">
        <f>IF(AND(H$4&gt;=$D45,H$4&lt;=$E45),IF(Tareas!$K39="Hecho","✓","■"),"")</f>
        <v/>
      </c>
      <c r="I45" s="18">
        <f>IF(AND(I$4&gt;=$D45,I$4&lt;=$E45),IF(Tareas!$K39="Hecho","✓","■"),"")</f>
        <v/>
      </c>
      <c r="J45" s="18">
        <f>IF(AND(J$4&gt;=$D45,J$4&lt;=$E45),IF(Tareas!$K39="Hecho","✓","■"),"")</f>
        <v/>
      </c>
      <c r="K45" s="18">
        <f>IF(AND(K$4&gt;=$D45,K$4&lt;=$E45),IF(Tareas!$K39="Hecho","✓","■"),"")</f>
        <v/>
      </c>
      <c r="L45" s="18">
        <f>IF(AND(L$4&gt;=$D45,L$4&lt;=$E45),IF(Tareas!$K39="Hecho","✓","■"),"")</f>
        <v/>
      </c>
      <c r="M45" s="18">
        <f>IF(AND(M$4&gt;=$D45,M$4&lt;=$E45),IF(Tareas!$K39="Hecho","✓","■"),"")</f>
        <v/>
      </c>
      <c r="N45" s="18">
        <f>IF(AND(N$4&gt;=$D45,N$4&lt;=$E45),IF(Tareas!$K39="Hecho","✓","■"),"")</f>
        <v/>
      </c>
      <c r="O45" s="18">
        <f>IF(AND(O$4&gt;=$D45,O$4&lt;=$E45),IF(Tareas!$K39="Hecho","✓","■"),"")</f>
        <v/>
      </c>
      <c r="P45" s="18">
        <f>IF(AND(P$4&gt;=$D45,P$4&lt;=$E45),IF(Tareas!$K39="Hecho","✓","■"),"")</f>
        <v/>
      </c>
      <c r="Q45" s="18">
        <f>IF(AND(Q$4&gt;=$D45,Q$4&lt;=$E45),IF(Tareas!$K39="Hecho","✓","■"),"")</f>
        <v/>
      </c>
      <c r="R45" s="18">
        <f>IF(AND(R$4&gt;=$D45,R$4&lt;=$E45),IF(Tareas!$K39="Hecho","✓","■"),"")</f>
        <v/>
      </c>
    </row>
    <row r="46" ht="26" customHeight="1">
      <c r="A46" s="15">
        <f>Tareas!A40</f>
        <v/>
      </c>
      <c r="B46" s="15">
        <f>Tareas!B40</f>
        <v/>
      </c>
      <c r="C46" s="16">
        <f>Tareas!C40</f>
        <v/>
      </c>
      <c r="D46" s="17">
        <f>Tareas!E40</f>
        <v/>
      </c>
      <c r="E46" s="17">
        <f>Tareas!F40</f>
        <v/>
      </c>
      <c r="F46" s="18">
        <f>IF(AND(F$4&gt;=$D46,F$4&lt;=$E46),IF(Tareas!$K40="Hecho","✓","■"),"")</f>
        <v/>
      </c>
      <c r="G46" s="18">
        <f>IF(AND(G$4&gt;=$D46,G$4&lt;=$E46),IF(Tareas!$K40="Hecho","✓","■"),"")</f>
        <v/>
      </c>
      <c r="H46" s="18">
        <f>IF(AND(H$4&gt;=$D46,H$4&lt;=$E46),IF(Tareas!$K40="Hecho","✓","■"),"")</f>
        <v/>
      </c>
      <c r="I46" s="18">
        <f>IF(AND(I$4&gt;=$D46,I$4&lt;=$E46),IF(Tareas!$K40="Hecho","✓","■"),"")</f>
        <v/>
      </c>
      <c r="J46" s="18">
        <f>IF(AND(J$4&gt;=$D46,J$4&lt;=$E46),IF(Tareas!$K40="Hecho","✓","■"),"")</f>
        <v/>
      </c>
      <c r="K46" s="18">
        <f>IF(AND(K$4&gt;=$D46,K$4&lt;=$E46),IF(Tareas!$K40="Hecho","✓","■"),"")</f>
        <v/>
      </c>
      <c r="L46" s="18">
        <f>IF(AND(L$4&gt;=$D46,L$4&lt;=$E46),IF(Tareas!$K40="Hecho","✓","■"),"")</f>
        <v/>
      </c>
      <c r="M46" s="18">
        <f>IF(AND(M$4&gt;=$D46,M$4&lt;=$E46),IF(Tareas!$K40="Hecho","✓","■"),"")</f>
        <v/>
      </c>
      <c r="N46" s="18">
        <f>IF(AND(N$4&gt;=$D46,N$4&lt;=$E46),IF(Tareas!$K40="Hecho","✓","■"),"")</f>
        <v/>
      </c>
      <c r="O46" s="18">
        <f>IF(AND(O$4&gt;=$D46,O$4&lt;=$E46),IF(Tareas!$K40="Hecho","✓","■"),"")</f>
        <v/>
      </c>
      <c r="P46" s="18">
        <f>IF(AND(P$4&gt;=$D46,P$4&lt;=$E46),IF(Tareas!$K40="Hecho","✓","■"),"")</f>
        <v/>
      </c>
      <c r="Q46" s="18">
        <f>IF(AND(Q$4&gt;=$D46,Q$4&lt;=$E46),IF(Tareas!$K40="Hecho","✓","■"),"")</f>
        <v/>
      </c>
      <c r="R46" s="18">
        <f>IF(AND(R$4&gt;=$D46,R$4&lt;=$E46),IF(Tareas!$K40="Hecho","✓","■"),"")</f>
        <v/>
      </c>
    </row>
    <row r="47" ht="26" customHeight="1">
      <c r="A47" s="15">
        <f>Tareas!A41</f>
        <v/>
      </c>
      <c r="B47" s="15">
        <f>Tareas!B41</f>
        <v/>
      </c>
      <c r="C47" s="16">
        <f>Tareas!C41</f>
        <v/>
      </c>
      <c r="D47" s="17">
        <f>Tareas!E41</f>
        <v/>
      </c>
      <c r="E47" s="17">
        <f>Tareas!F41</f>
        <v/>
      </c>
      <c r="F47" s="18">
        <f>IF(AND(F$4&gt;=$D47,F$4&lt;=$E47),IF(Tareas!$K41="Hecho","✓","■"),"")</f>
        <v/>
      </c>
      <c r="G47" s="18">
        <f>IF(AND(G$4&gt;=$D47,G$4&lt;=$E47),IF(Tareas!$K41="Hecho","✓","■"),"")</f>
        <v/>
      </c>
      <c r="H47" s="18">
        <f>IF(AND(H$4&gt;=$D47,H$4&lt;=$E47),IF(Tareas!$K41="Hecho","✓","■"),"")</f>
        <v/>
      </c>
      <c r="I47" s="18">
        <f>IF(AND(I$4&gt;=$D47,I$4&lt;=$E47),IF(Tareas!$K41="Hecho","✓","■"),"")</f>
        <v/>
      </c>
      <c r="J47" s="18">
        <f>IF(AND(J$4&gt;=$D47,J$4&lt;=$E47),IF(Tareas!$K41="Hecho","✓","■"),"")</f>
        <v/>
      </c>
      <c r="K47" s="18">
        <f>IF(AND(K$4&gt;=$D47,K$4&lt;=$E47),IF(Tareas!$K41="Hecho","✓","■"),"")</f>
        <v/>
      </c>
      <c r="L47" s="18">
        <f>IF(AND(L$4&gt;=$D47,L$4&lt;=$E47),IF(Tareas!$K41="Hecho","✓","■"),"")</f>
        <v/>
      </c>
      <c r="M47" s="18">
        <f>IF(AND(M$4&gt;=$D47,M$4&lt;=$E47),IF(Tareas!$K41="Hecho","✓","■"),"")</f>
        <v/>
      </c>
      <c r="N47" s="18">
        <f>IF(AND(N$4&gt;=$D47,N$4&lt;=$E47),IF(Tareas!$K41="Hecho","✓","■"),"")</f>
        <v/>
      </c>
      <c r="O47" s="18">
        <f>IF(AND(O$4&gt;=$D47,O$4&lt;=$E47),IF(Tareas!$K41="Hecho","✓","■"),"")</f>
        <v/>
      </c>
      <c r="P47" s="18">
        <f>IF(AND(P$4&gt;=$D47,P$4&lt;=$E47),IF(Tareas!$K41="Hecho","✓","■"),"")</f>
        <v/>
      </c>
      <c r="Q47" s="18">
        <f>IF(AND(Q$4&gt;=$D47,Q$4&lt;=$E47),IF(Tareas!$K41="Hecho","✓","■"),"")</f>
        <v/>
      </c>
      <c r="R47" s="18">
        <f>IF(AND(R$4&gt;=$D47,R$4&lt;=$E47),IF(Tareas!$K41="Hecho","✓","■"),"")</f>
        <v/>
      </c>
    </row>
    <row r="48" ht="26" customHeight="1">
      <c r="A48" s="15">
        <f>Tareas!A42</f>
        <v/>
      </c>
      <c r="B48" s="15">
        <f>Tareas!B42</f>
        <v/>
      </c>
      <c r="C48" s="16">
        <f>Tareas!C42</f>
        <v/>
      </c>
      <c r="D48" s="17">
        <f>Tareas!E42</f>
        <v/>
      </c>
      <c r="E48" s="17">
        <f>Tareas!F42</f>
        <v/>
      </c>
      <c r="F48" s="18">
        <f>IF(AND(F$4&gt;=$D48,F$4&lt;=$E48),IF(Tareas!$K42="Hecho","✓","■"),"")</f>
        <v/>
      </c>
      <c r="G48" s="18">
        <f>IF(AND(G$4&gt;=$D48,G$4&lt;=$E48),IF(Tareas!$K42="Hecho","✓","■"),"")</f>
        <v/>
      </c>
      <c r="H48" s="18">
        <f>IF(AND(H$4&gt;=$D48,H$4&lt;=$E48),IF(Tareas!$K42="Hecho","✓","■"),"")</f>
        <v/>
      </c>
      <c r="I48" s="18">
        <f>IF(AND(I$4&gt;=$D48,I$4&lt;=$E48),IF(Tareas!$K42="Hecho","✓","■"),"")</f>
        <v/>
      </c>
      <c r="J48" s="18">
        <f>IF(AND(J$4&gt;=$D48,J$4&lt;=$E48),IF(Tareas!$K42="Hecho","✓","■"),"")</f>
        <v/>
      </c>
      <c r="K48" s="18">
        <f>IF(AND(K$4&gt;=$D48,K$4&lt;=$E48),IF(Tareas!$K42="Hecho","✓","■"),"")</f>
        <v/>
      </c>
      <c r="L48" s="18">
        <f>IF(AND(L$4&gt;=$D48,L$4&lt;=$E48),IF(Tareas!$K42="Hecho","✓","■"),"")</f>
        <v/>
      </c>
      <c r="M48" s="18">
        <f>IF(AND(M$4&gt;=$D48,M$4&lt;=$E48),IF(Tareas!$K42="Hecho","✓","■"),"")</f>
        <v/>
      </c>
      <c r="N48" s="18">
        <f>IF(AND(N$4&gt;=$D48,N$4&lt;=$E48),IF(Tareas!$K42="Hecho","✓","■"),"")</f>
        <v/>
      </c>
      <c r="O48" s="18">
        <f>IF(AND(O$4&gt;=$D48,O$4&lt;=$E48),IF(Tareas!$K42="Hecho","✓","■"),"")</f>
        <v/>
      </c>
      <c r="P48" s="18">
        <f>IF(AND(P$4&gt;=$D48,P$4&lt;=$E48),IF(Tareas!$K42="Hecho","✓","■"),"")</f>
        <v/>
      </c>
      <c r="Q48" s="18">
        <f>IF(AND(Q$4&gt;=$D48,Q$4&lt;=$E48),IF(Tareas!$K42="Hecho","✓","■"),"")</f>
        <v/>
      </c>
      <c r="R48" s="18">
        <f>IF(AND(R$4&gt;=$D48,R$4&lt;=$E48),IF(Tareas!$K42="Hecho","✓","■"),"")</f>
        <v/>
      </c>
    </row>
    <row r="49">
      <c r="A49" s="13" t="inlineStr">
        <is>
          <t>ECOSISTEMA</t>
        </is>
      </c>
      <c r="B49" s="14" t="n"/>
      <c r="C49" s="14" t="n"/>
      <c r="D49" s="14" t="n"/>
      <c r="E49" s="14" t="n"/>
      <c r="F49" s="14" t="n"/>
      <c r="G49" s="14" t="n"/>
      <c r="H49" s="14" t="n"/>
      <c r="I49" s="14" t="n"/>
      <c r="J49" s="14" t="n"/>
      <c r="K49" s="14" t="n"/>
      <c r="L49" s="14" t="n"/>
      <c r="M49" s="14" t="n"/>
      <c r="N49" s="14" t="n"/>
      <c r="O49" s="14" t="n"/>
      <c r="P49" s="14" t="n"/>
      <c r="Q49" s="14" t="n"/>
      <c r="R49" s="14" t="n"/>
    </row>
    <row r="50" ht="26" customHeight="1">
      <c r="A50" s="15">
        <f>Tareas!A43</f>
        <v/>
      </c>
      <c r="B50" s="15">
        <f>Tareas!B43</f>
        <v/>
      </c>
      <c r="C50" s="16">
        <f>Tareas!C43</f>
        <v/>
      </c>
      <c r="D50" s="17">
        <f>Tareas!E43</f>
        <v/>
      </c>
      <c r="E50" s="17">
        <f>Tareas!F43</f>
        <v/>
      </c>
      <c r="F50" s="18">
        <f>IF(AND(F$4&gt;=$D50,F$4&lt;=$E50),IF(Tareas!$K43="Hecho","✓","■"),"")</f>
        <v/>
      </c>
      <c r="G50" s="18">
        <f>IF(AND(G$4&gt;=$D50,G$4&lt;=$E50),IF(Tareas!$K43="Hecho","✓","■"),"")</f>
        <v/>
      </c>
      <c r="H50" s="18">
        <f>IF(AND(H$4&gt;=$D50,H$4&lt;=$E50),IF(Tareas!$K43="Hecho","✓","■"),"")</f>
        <v/>
      </c>
      <c r="I50" s="18">
        <f>IF(AND(I$4&gt;=$D50,I$4&lt;=$E50),IF(Tareas!$K43="Hecho","✓","■"),"")</f>
        <v/>
      </c>
      <c r="J50" s="18">
        <f>IF(AND(J$4&gt;=$D50,J$4&lt;=$E50),IF(Tareas!$K43="Hecho","✓","■"),"")</f>
        <v/>
      </c>
      <c r="K50" s="18">
        <f>IF(AND(K$4&gt;=$D50,K$4&lt;=$E50),IF(Tareas!$K43="Hecho","✓","■"),"")</f>
        <v/>
      </c>
      <c r="L50" s="18">
        <f>IF(AND(L$4&gt;=$D50,L$4&lt;=$E50),IF(Tareas!$K43="Hecho","✓","■"),"")</f>
        <v/>
      </c>
      <c r="M50" s="18">
        <f>IF(AND(M$4&gt;=$D50,M$4&lt;=$E50),IF(Tareas!$K43="Hecho","✓","■"),"")</f>
        <v/>
      </c>
      <c r="N50" s="18">
        <f>IF(AND(N$4&gt;=$D50,N$4&lt;=$E50),IF(Tareas!$K43="Hecho","✓","■"),"")</f>
        <v/>
      </c>
      <c r="O50" s="18">
        <f>IF(AND(O$4&gt;=$D50,O$4&lt;=$E50),IF(Tareas!$K43="Hecho","✓","■"),"")</f>
        <v/>
      </c>
      <c r="P50" s="18">
        <f>IF(AND(P$4&gt;=$D50,P$4&lt;=$E50),IF(Tareas!$K43="Hecho","✓","■"),"")</f>
        <v/>
      </c>
      <c r="Q50" s="18">
        <f>IF(AND(Q$4&gt;=$D50,Q$4&lt;=$E50),IF(Tareas!$K43="Hecho","✓","■"),"")</f>
        <v/>
      </c>
      <c r="R50" s="18">
        <f>IF(AND(R$4&gt;=$D50,R$4&lt;=$E50),IF(Tareas!$K43="Hecho","✓","■"),"")</f>
        <v/>
      </c>
    </row>
    <row r="51" ht="26" customHeight="1">
      <c r="A51" s="15">
        <f>Tareas!A44</f>
        <v/>
      </c>
      <c r="B51" s="15">
        <f>Tareas!B44</f>
        <v/>
      </c>
      <c r="C51" s="16">
        <f>Tareas!C44</f>
        <v/>
      </c>
      <c r="D51" s="17">
        <f>Tareas!E44</f>
        <v/>
      </c>
      <c r="E51" s="17">
        <f>Tareas!F44</f>
        <v/>
      </c>
      <c r="F51" s="18">
        <f>IF(AND(F$4&gt;=$D51,F$4&lt;=$E51),IF(Tareas!$K44="Hecho","✓","■"),"")</f>
        <v/>
      </c>
      <c r="G51" s="18">
        <f>IF(AND(G$4&gt;=$D51,G$4&lt;=$E51),IF(Tareas!$K44="Hecho","✓","■"),"")</f>
        <v/>
      </c>
      <c r="H51" s="18">
        <f>IF(AND(H$4&gt;=$D51,H$4&lt;=$E51),IF(Tareas!$K44="Hecho","✓","■"),"")</f>
        <v/>
      </c>
      <c r="I51" s="18">
        <f>IF(AND(I$4&gt;=$D51,I$4&lt;=$E51),IF(Tareas!$K44="Hecho","✓","■"),"")</f>
        <v/>
      </c>
      <c r="J51" s="18">
        <f>IF(AND(J$4&gt;=$D51,J$4&lt;=$E51),IF(Tareas!$K44="Hecho","✓","■"),"")</f>
        <v/>
      </c>
      <c r="K51" s="18">
        <f>IF(AND(K$4&gt;=$D51,K$4&lt;=$E51),IF(Tareas!$K44="Hecho","✓","■"),"")</f>
        <v/>
      </c>
      <c r="L51" s="18">
        <f>IF(AND(L$4&gt;=$D51,L$4&lt;=$E51),IF(Tareas!$K44="Hecho","✓","■"),"")</f>
        <v/>
      </c>
      <c r="M51" s="18">
        <f>IF(AND(M$4&gt;=$D51,M$4&lt;=$E51),IF(Tareas!$K44="Hecho","✓","■"),"")</f>
        <v/>
      </c>
      <c r="N51" s="18">
        <f>IF(AND(N$4&gt;=$D51,N$4&lt;=$E51),IF(Tareas!$K44="Hecho","✓","■"),"")</f>
        <v/>
      </c>
      <c r="O51" s="18">
        <f>IF(AND(O$4&gt;=$D51,O$4&lt;=$E51),IF(Tareas!$K44="Hecho","✓","■"),"")</f>
        <v/>
      </c>
      <c r="P51" s="18">
        <f>IF(AND(P$4&gt;=$D51,P$4&lt;=$E51),IF(Tareas!$K44="Hecho","✓","■"),"")</f>
        <v/>
      </c>
      <c r="Q51" s="18">
        <f>IF(AND(Q$4&gt;=$D51,Q$4&lt;=$E51),IF(Tareas!$K44="Hecho","✓","■"),"")</f>
        <v/>
      </c>
      <c r="R51" s="18">
        <f>IF(AND(R$4&gt;=$D51,R$4&lt;=$E51),IF(Tareas!$K44="Hecho","✓","■"),"")</f>
        <v/>
      </c>
    </row>
    <row r="52" ht="26" customHeight="1">
      <c r="A52" s="15">
        <f>Tareas!A45</f>
        <v/>
      </c>
      <c r="B52" s="15">
        <f>Tareas!B45</f>
        <v/>
      </c>
      <c r="C52" s="16">
        <f>Tareas!C45</f>
        <v/>
      </c>
      <c r="D52" s="17">
        <f>Tareas!E45</f>
        <v/>
      </c>
      <c r="E52" s="17">
        <f>Tareas!F45</f>
        <v/>
      </c>
      <c r="F52" s="18">
        <f>IF(AND(F$4&gt;=$D52,F$4&lt;=$E52),IF(Tareas!$K45="Hecho","✓","■"),"")</f>
        <v/>
      </c>
      <c r="G52" s="18">
        <f>IF(AND(G$4&gt;=$D52,G$4&lt;=$E52),IF(Tareas!$K45="Hecho","✓","■"),"")</f>
        <v/>
      </c>
      <c r="H52" s="18">
        <f>IF(AND(H$4&gt;=$D52,H$4&lt;=$E52),IF(Tareas!$K45="Hecho","✓","■"),"")</f>
        <v/>
      </c>
      <c r="I52" s="18">
        <f>IF(AND(I$4&gt;=$D52,I$4&lt;=$E52),IF(Tareas!$K45="Hecho","✓","■"),"")</f>
        <v/>
      </c>
      <c r="J52" s="18">
        <f>IF(AND(J$4&gt;=$D52,J$4&lt;=$E52),IF(Tareas!$K45="Hecho","✓","■"),"")</f>
        <v/>
      </c>
      <c r="K52" s="18">
        <f>IF(AND(K$4&gt;=$D52,K$4&lt;=$E52),IF(Tareas!$K45="Hecho","✓","■"),"")</f>
        <v/>
      </c>
      <c r="L52" s="18">
        <f>IF(AND(L$4&gt;=$D52,L$4&lt;=$E52),IF(Tareas!$K45="Hecho","✓","■"),"")</f>
        <v/>
      </c>
      <c r="M52" s="18">
        <f>IF(AND(M$4&gt;=$D52,M$4&lt;=$E52),IF(Tareas!$K45="Hecho","✓","■"),"")</f>
        <v/>
      </c>
      <c r="N52" s="18">
        <f>IF(AND(N$4&gt;=$D52,N$4&lt;=$E52),IF(Tareas!$K45="Hecho","✓","■"),"")</f>
        <v/>
      </c>
      <c r="O52" s="18">
        <f>IF(AND(O$4&gt;=$D52,O$4&lt;=$E52),IF(Tareas!$K45="Hecho","✓","■"),"")</f>
        <v/>
      </c>
      <c r="P52" s="18">
        <f>IF(AND(P$4&gt;=$D52,P$4&lt;=$E52),IF(Tareas!$K45="Hecho","✓","■"),"")</f>
        <v/>
      </c>
      <c r="Q52" s="18">
        <f>IF(AND(Q$4&gt;=$D52,Q$4&lt;=$E52),IF(Tareas!$K45="Hecho","✓","■"),"")</f>
        <v/>
      </c>
      <c r="R52" s="18">
        <f>IF(AND(R$4&gt;=$D52,R$4&lt;=$E52),IF(Tareas!$K45="Hecho","✓","■"),"")</f>
        <v/>
      </c>
    </row>
    <row r="53" ht="26" customHeight="1">
      <c r="A53" s="15">
        <f>Tareas!A46</f>
        <v/>
      </c>
      <c r="B53" s="15">
        <f>Tareas!B46</f>
        <v/>
      </c>
      <c r="C53" s="16">
        <f>Tareas!C46</f>
        <v/>
      </c>
      <c r="D53" s="17">
        <f>Tareas!E46</f>
        <v/>
      </c>
      <c r="E53" s="17">
        <f>Tareas!F46</f>
        <v/>
      </c>
      <c r="F53" s="18">
        <f>IF(AND(F$4&gt;=$D53,F$4&lt;=$E53),IF(Tareas!$K46="Hecho","✓","■"),"")</f>
        <v/>
      </c>
      <c r="G53" s="18">
        <f>IF(AND(G$4&gt;=$D53,G$4&lt;=$E53),IF(Tareas!$K46="Hecho","✓","■"),"")</f>
        <v/>
      </c>
      <c r="H53" s="18">
        <f>IF(AND(H$4&gt;=$D53,H$4&lt;=$E53),IF(Tareas!$K46="Hecho","✓","■"),"")</f>
        <v/>
      </c>
      <c r="I53" s="18">
        <f>IF(AND(I$4&gt;=$D53,I$4&lt;=$E53),IF(Tareas!$K46="Hecho","✓","■"),"")</f>
        <v/>
      </c>
      <c r="J53" s="18">
        <f>IF(AND(J$4&gt;=$D53,J$4&lt;=$E53),IF(Tareas!$K46="Hecho","✓","■"),"")</f>
        <v/>
      </c>
      <c r="K53" s="18">
        <f>IF(AND(K$4&gt;=$D53,K$4&lt;=$E53),IF(Tareas!$K46="Hecho","✓","■"),"")</f>
        <v/>
      </c>
      <c r="L53" s="18">
        <f>IF(AND(L$4&gt;=$D53,L$4&lt;=$E53),IF(Tareas!$K46="Hecho","✓","■"),"")</f>
        <v/>
      </c>
      <c r="M53" s="18">
        <f>IF(AND(M$4&gt;=$D53,M$4&lt;=$E53),IF(Tareas!$K46="Hecho","✓","■"),"")</f>
        <v/>
      </c>
      <c r="N53" s="18">
        <f>IF(AND(N$4&gt;=$D53,N$4&lt;=$E53),IF(Tareas!$K46="Hecho","✓","■"),"")</f>
        <v/>
      </c>
      <c r="O53" s="18">
        <f>IF(AND(O$4&gt;=$D53,O$4&lt;=$E53),IF(Tareas!$K46="Hecho","✓","■"),"")</f>
        <v/>
      </c>
      <c r="P53" s="18">
        <f>IF(AND(P$4&gt;=$D53,P$4&lt;=$E53),IF(Tareas!$K46="Hecho","✓","■"),"")</f>
        <v/>
      </c>
      <c r="Q53" s="18">
        <f>IF(AND(Q$4&gt;=$D53,Q$4&lt;=$E53),IF(Tareas!$K46="Hecho","✓","■"),"")</f>
        <v/>
      </c>
      <c r="R53" s="18">
        <f>IF(AND(R$4&gt;=$D53,R$4&lt;=$E53),IF(Tareas!$K46="Hecho","✓","■"),"")</f>
        <v/>
      </c>
    </row>
    <row r="54" ht="26" customHeight="1">
      <c r="A54" s="15">
        <f>Tareas!A47</f>
        <v/>
      </c>
      <c r="B54" s="15">
        <f>Tareas!B47</f>
        <v/>
      </c>
      <c r="C54" s="16">
        <f>Tareas!C47</f>
        <v/>
      </c>
      <c r="D54" s="17">
        <f>Tareas!E47</f>
        <v/>
      </c>
      <c r="E54" s="17">
        <f>Tareas!F47</f>
        <v/>
      </c>
      <c r="F54" s="18">
        <f>IF(AND(F$4&gt;=$D54,F$4&lt;=$E54),IF(Tareas!$K47="Hecho","✓","■"),"")</f>
        <v/>
      </c>
      <c r="G54" s="18">
        <f>IF(AND(G$4&gt;=$D54,G$4&lt;=$E54),IF(Tareas!$K47="Hecho","✓","■"),"")</f>
        <v/>
      </c>
      <c r="H54" s="18">
        <f>IF(AND(H$4&gt;=$D54,H$4&lt;=$E54),IF(Tareas!$K47="Hecho","✓","■"),"")</f>
        <v/>
      </c>
      <c r="I54" s="18">
        <f>IF(AND(I$4&gt;=$D54,I$4&lt;=$E54),IF(Tareas!$K47="Hecho","✓","■"),"")</f>
        <v/>
      </c>
      <c r="J54" s="18">
        <f>IF(AND(J$4&gt;=$D54,J$4&lt;=$E54),IF(Tareas!$K47="Hecho","✓","■"),"")</f>
        <v/>
      </c>
      <c r="K54" s="18">
        <f>IF(AND(K$4&gt;=$D54,K$4&lt;=$E54),IF(Tareas!$K47="Hecho","✓","■"),"")</f>
        <v/>
      </c>
      <c r="L54" s="18">
        <f>IF(AND(L$4&gt;=$D54,L$4&lt;=$E54),IF(Tareas!$K47="Hecho","✓","■"),"")</f>
        <v/>
      </c>
      <c r="M54" s="18">
        <f>IF(AND(M$4&gt;=$D54,M$4&lt;=$E54),IF(Tareas!$K47="Hecho","✓","■"),"")</f>
        <v/>
      </c>
      <c r="N54" s="18">
        <f>IF(AND(N$4&gt;=$D54,N$4&lt;=$E54),IF(Tareas!$K47="Hecho","✓","■"),"")</f>
        <v/>
      </c>
      <c r="O54" s="18">
        <f>IF(AND(O$4&gt;=$D54,O$4&lt;=$E54),IF(Tareas!$K47="Hecho","✓","■"),"")</f>
        <v/>
      </c>
      <c r="P54" s="18">
        <f>IF(AND(P$4&gt;=$D54,P$4&lt;=$E54),IF(Tareas!$K47="Hecho","✓","■"),"")</f>
        <v/>
      </c>
      <c r="Q54" s="18">
        <f>IF(AND(Q$4&gt;=$D54,Q$4&lt;=$E54),IF(Tareas!$K47="Hecho","✓","■"),"")</f>
        <v/>
      </c>
      <c r="R54" s="18">
        <f>IF(AND(R$4&gt;=$D54,R$4&lt;=$E54),IF(Tareas!$K47="Hecho","✓","■"),"")</f>
        <v/>
      </c>
    </row>
    <row r="55">
      <c r="A55" s="13" t="inlineStr">
        <is>
          <t>SOPORTE</t>
        </is>
      </c>
      <c r="B55" s="14" t="n"/>
      <c r="C55" s="14" t="n"/>
      <c r="D55" s="14" t="n"/>
      <c r="E55" s="14" t="n"/>
      <c r="F55" s="14" t="n"/>
      <c r="G55" s="14" t="n"/>
      <c r="H55" s="14" t="n"/>
      <c r="I55" s="14" t="n"/>
      <c r="J55" s="14" t="n"/>
      <c r="K55" s="14" t="n"/>
      <c r="L55" s="14" t="n"/>
      <c r="M55" s="14" t="n"/>
      <c r="N55" s="14" t="n"/>
      <c r="O55" s="14" t="n"/>
      <c r="P55" s="14" t="n"/>
      <c r="Q55" s="14" t="n"/>
      <c r="R55" s="14" t="n"/>
    </row>
    <row r="56" ht="26" customHeight="1">
      <c r="A56" s="15">
        <f>Tareas!A48</f>
        <v/>
      </c>
      <c r="B56" s="15">
        <f>Tareas!B48</f>
        <v/>
      </c>
      <c r="C56" s="16">
        <f>Tareas!C48</f>
        <v/>
      </c>
      <c r="D56" s="17">
        <f>Tareas!E48</f>
        <v/>
      </c>
      <c r="E56" s="17">
        <f>Tareas!F48</f>
        <v/>
      </c>
      <c r="F56" s="18">
        <f>IF(AND(F$4&gt;=$D56,F$4&lt;=$E56),IF(Tareas!$K48="Hecho","✓","■"),"")</f>
        <v/>
      </c>
      <c r="G56" s="18">
        <f>IF(AND(G$4&gt;=$D56,G$4&lt;=$E56),IF(Tareas!$K48="Hecho","✓","■"),"")</f>
        <v/>
      </c>
      <c r="H56" s="18">
        <f>IF(AND(H$4&gt;=$D56,H$4&lt;=$E56),IF(Tareas!$K48="Hecho","✓","■"),"")</f>
        <v/>
      </c>
      <c r="I56" s="18">
        <f>IF(AND(I$4&gt;=$D56,I$4&lt;=$E56),IF(Tareas!$K48="Hecho","✓","■"),"")</f>
        <v/>
      </c>
      <c r="J56" s="18">
        <f>IF(AND(J$4&gt;=$D56,J$4&lt;=$E56),IF(Tareas!$K48="Hecho","✓","■"),"")</f>
        <v/>
      </c>
      <c r="K56" s="18">
        <f>IF(AND(K$4&gt;=$D56,K$4&lt;=$E56),IF(Tareas!$K48="Hecho","✓","■"),"")</f>
        <v/>
      </c>
      <c r="L56" s="18">
        <f>IF(AND(L$4&gt;=$D56,L$4&lt;=$E56),IF(Tareas!$K48="Hecho","✓","■"),"")</f>
        <v/>
      </c>
      <c r="M56" s="18">
        <f>IF(AND(M$4&gt;=$D56,M$4&lt;=$E56),IF(Tareas!$K48="Hecho","✓","■"),"")</f>
        <v/>
      </c>
      <c r="N56" s="18">
        <f>IF(AND(N$4&gt;=$D56,N$4&lt;=$E56),IF(Tareas!$K48="Hecho","✓","■"),"")</f>
        <v/>
      </c>
      <c r="O56" s="18">
        <f>IF(AND(O$4&gt;=$D56,O$4&lt;=$E56),IF(Tareas!$K48="Hecho","✓","■"),"")</f>
        <v/>
      </c>
      <c r="P56" s="18">
        <f>IF(AND(P$4&gt;=$D56,P$4&lt;=$E56),IF(Tareas!$K48="Hecho","✓","■"),"")</f>
        <v/>
      </c>
      <c r="Q56" s="18">
        <f>IF(AND(Q$4&gt;=$D56,Q$4&lt;=$E56),IF(Tareas!$K48="Hecho","✓","■"),"")</f>
        <v/>
      </c>
      <c r="R56" s="18">
        <f>IF(AND(R$4&gt;=$D56,R$4&lt;=$E56),IF(Tareas!$K48="Hecho","✓","■"),"")</f>
        <v/>
      </c>
    </row>
    <row r="57" ht="26" customHeight="1">
      <c r="A57" s="15">
        <f>Tareas!A49</f>
        <v/>
      </c>
      <c r="B57" s="15">
        <f>Tareas!B49</f>
        <v/>
      </c>
      <c r="C57" s="16">
        <f>Tareas!C49</f>
        <v/>
      </c>
      <c r="D57" s="17">
        <f>Tareas!E49</f>
        <v/>
      </c>
      <c r="E57" s="17">
        <f>Tareas!F49</f>
        <v/>
      </c>
      <c r="F57" s="18">
        <f>IF(AND(F$4&gt;=$D57,F$4&lt;=$E57),IF(Tareas!$K49="Hecho","✓","■"),"")</f>
        <v/>
      </c>
      <c r="G57" s="18">
        <f>IF(AND(G$4&gt;=$D57,G$4&lt;=$E57),IF(Tareas!$K49="Hecho","✓","■"),"")</f>
        <v/>
      </c>
      <c r="H57" s="18">
        <f>IF(AND(H$4&gt;=$D57,H$4&lt;=$E57),IF(Tareas!$K49="Hecho","✓","■"),"")</f>
        <v/>
      </c>
      <c r="I57" s="18">
        <f>IF(AND(I$4&gt;=$D57,I$4&lt;=$E57),IF(Tareas!$K49="Hecho","✓","■"),"")</f>
        <v/>
      </c>
      <c r="J57" s="18">
        <f>IF(AND(J$4&gt;=$D57,J$4&lt;=$E57),IF(Tareas!$K49="Hecho","✓","■"),"")</f>
        <v/>
      </c>
      <c r="K57" s="18">
        <f>IF(AND(K$4&gt;=$D57,K$4&lt;=$E57),IF(Tareas!$K49="Hecho","✓","■"),"")</f>
        <v/>
      </c>
      <c r="L57" s="18">
        <f>IF(AND(L$4&gt;=$D57,L$4&lt;=$E57),IF(Tareas!$K49="Hecho","✓","■"),"")</f>
        <v/>
      </c>
      <c r="M57" s="18">
        <f>IF(AND(M$4&gt;=$D57,M$4&lt;=$E57),IF(Tareas!$K49="Hecho","✓","■"),"")</f>
        <v/>
      </c>
      <c r="N57" s="18">
        <f>IF(AND(N$4&gt;=$D57,N$4&lt;=$E57),IF(Tareas!$K49="Hecho","✓","■"),"")</f>
        <v/>
      </c>
      <c r="O57" s="18">
        <f>IF(AND(O$4&gt;=$D57,O$4&lt;=$E57),IF(Tareas!$K49="Hecho","✓","■"),"")</f>
        <v/>
      </c>
      <c r="P57" s="18">
        <f>IF(AND(P$4&gt;=$D57,P$4&lt;=$E57),IF(Tareas!$K49="Hecho","✓","■"),"")</f>
        <v/>
      </c>
      <c r="Q57" s="18">
        <f>IF(AND(Q$4&gt;=$D57,Q$4&lt;=$E57),IF(Tareas!$K49="Hecho","✓","■"),"")</f>
        <v/>
      </c>
      <c r="R57" s="18">
        <f>IF(AND(R$4&gt;=$D57,R$4&lt;=$E57),IF(Tareas!$K49="Hecho","✓","■"),"")</f>
        <v/>
      </c>
    </row>
    <row r="58">
      <c r="A58" s="13" t="inlineStr">
        <is>
          <t>MÉTRICAS</t>
        </is>
      </c>
      <c r="B58" s="14" t="n"/>
      <c r="C58" s="14" t="n"/>
      <c r="D58" s="14" t="n"/>
      <c r="E58" s="14" t="n"/>
      <c r="F58" s="14" t="n"/>
      <c r="G58" s="14" t="n"/>
      <c r="H58" s="14" t="n"/>
      <c r="I58" s="14" t="n"/>
      <c r="J58" s="14" t="n"/>
      <c r="K58" s="14" t="n"/>
      <c r="L58" s="14" t="n"/>
      <c r="M58" s="14" t="n"/>
      <c r="N58" s="14" t="n"/>
      <c r="O58" s="14" t="n"/>
      <c r="P58" s="14" t="n"/>
      <c r="Q58" s="14" t="n"/>
      <c r="R58" s="14" t="n"/>
    </row>
    <row r="59" ht="26" customHeight="1">
      <c r="A59" s="15">
        <f>Tareas!A50</f>
        <v/>
      </c>
      <c r="B59" s="15">
        <f>Tareas!B50</f>
        <v/>
      </c>
      <c r="C59" s="16">
        <f>Tareas!C50</f>
        <v/>
      </c>
      <c r="D59" s="17">
        <f>Tareas!E50</f>
        <v/>
      </c>
      <c r="E59" s="17">
        <f>Tareas!F50</f>
        <v/>
      </c>
      <c r="F59" s="18">
        <f>IF(AND(F$4&gt;=$D59,F$4&lt;=$E59),IF(Tareas!$K50="Hecho","✓","■"),"")</f>
        <v/>
      </c>
      <c r="G59" s="18">
        <f>IF(AND(G$4&gt;=$D59,G$4&lt;=$E59),IF(Tareas!$K50="Hecho","✓","■"),"")</f>
        <v/>
      </c>
      <c r="H59" s="18">
        <f>IF(AND(H$4&gt;=$D59,H$4&lt;=$E59),IF(Tareas!$K50="Hecho","✓","■"),"")</f>
        <v/>
      </c>
      <c r="I59" s="18">
        <f>IF(AND(I$4&gt;=$D59,I$4&lt;=$E59),IF(Tareas!$K50="Hecho","✓","■"),"")</f>
        <v/>
      </c>
      <c r="J59" s="18">
        <f>IF(AND(J$4&gt;=$D59,J$4&lt;=$E59),IF(Tareas!$K50="Hecho","✓","■"),"")</f>
        <v/>
      </c>
      <c r="K59" s="18">
        <f>IF(AND(K$4&gt;=$D59,K$4&lt;=$E59),IF(Tareas!$K50="Hecho","✓","■"),"")</f>
        <v/>
      </c>
      <c r="L59" s="18">
        <f>IF(AND(L$4&gt;=$D59,L$4&lt;=$E59),IF(Tareas!$K50="Hecho","✓","■"),"")</f>
        <v/>
      </c>
      <c r="M59" s="18">
        <f>IF(AND(M$4&gt;=$D59,M$4&lt;=$E59),IF(Tareas!$K50="Hecho","✓","■"),"")</f>
        <v/>
      </c>
      <c r="N59" s="18">
        <f>IF(AND(N$4&gt;=$D59,N$4&lt;=$E59),IF(Tareas!$K50="Hecho","✓","■"),"")</f>
        <v/>
      </c>
      <c r="O59" s="18">
        <f>IF(AND(O$4&gt;=$D59,O$4&lt;=$E59),IF(Tareas!$K50="Hecho","✓","■"),"")</f>
        <v/>
      </c>
      <c r="P59" s="18">
        <f>IF(AND(P$4&gt;=$D59,P$4&lt;=$E59),IF(Tareas!$K50="Hecho","✓","■"),"")</f>
        <v/>
      </c>
      <c r="Q59" s="18">
        <f>IF(AND(Q$4&gt;=$D59,Q$4&lt;=$E59),IF(Tareas!$K50="Hecho","✓","■"),"")</f>
        <v/>
      </c>
      <c r="R59" s="18">
        <f>IF(AND(R$4&gt;=$D59,R$4&lt;=$E59),IF(Tareas!$K50="Hecho","✓","■"),"")</f>
        <v/>
      </c>
    </row>
    <row r="60" ht="26" customHeight="1">
      <c r="A60" s="15">
        <f>Tareas!A51</f>
        <v/>
      </c>
      <c r="B60" s="15">
        <f>Tareas!B51</f>
        <v/>
      </c>
      <c r="C60" s="16">
        <f>Tareas!C51</f>
        <v/>
      </c>
      <c r="D60" s="17">
        <f>Tareas!E51</f>
        <v/>
      </c>
      <c r="E60" s="17">
        <f>Tareas!F51</f>
        <v/>
      </c>
      <c r="F60" s="18">
        <f>IF(AND(F$4&gt;=$D60,F$4&lt;=$E60),IF(Tareas!$K51="Hecho","✓","■"),"")</f>
        <v/>
      </c>
      <c r="G60" s="18">
        <f>IF(AND(G$4&gt;=$D60,G$4&lt;=$E60),IF(Tareas!$K51="Hecho","✓","■"),"")</f>
        <v/>
      </c>
      <c r="H60" s="18">
        <f>IF(AND(H$4&gt;=$D60,H$4&lt;=$E60),IF(Tareas!$K51="Hecho","✓","■"),"")</f>
        <v/>
      </c>
      <c r="I60" s="18">
        <f>IF(AND(I$4&gt;=$D60,I$4&lt;=$E60),IF(Tareas!$K51="Hecho","✓","■"),"")</f>
        <v/>
      </c>
      <c r="J60" s="18">
        <f>IF(AND(J$4&gt;=$D60,J$4&lt;=$E60),IF(Tareas!$K51="Hecho","✓","■"),"")</f>
        <v/>
      </c>
      <c r="K60" s="18">
        <f>IF(AND(K$4&gt;=$D60,K$4&lt;=$E60),IF(Tareas!$K51="Hecho","✓","■"),"")</f>
        <v/>
      </c>
      <c r="L60" s="18">
        <f>IF(AND(L$4&gt;=$D60,L$4&lt;=$E60),IF(Tareas!$K51="Hecho","✓","■"),"")</f>
        <v/>
      </c>
      <c r="M60" s="18">
        <f>IF(AND(M$4&gt;=$D60,M$4&lt;=$E60),IF(Tareas!$K51="Hecho","✓","■"),"")</f>
        <v/>
      </c>
      <c r="N60" s="18">
        <f>IF(AND(N$4&gt;=$D60,N$4&lt;=$E60),IF(Tareas!$K51="Hecho","✓","■"),"")</f>
        <v/>
      </c>
      <c r="O60" s="18">
        <f>IF(AND(O$4&gt;=$D60,O$4&lt;=$E60),IF(Tareas!$K51="Hecho","✓","■"),"")</f>
        <v/>
      </c>
      <c r="P60" s="18">
        <f>IF(AND(P$4&gt;=$D60,P$4&lt;=$E60),IF(Tareas!$K51="Hecho","✓","■"),"")</f>
        <v/>
      </c>
      <c r="Q60" s="18">
        <f>IF(AND(Q$4&gt;=$D60,Q$4&lt;=$E60),IF(Tareas!$K51="Hecho","✓","■"),"")</f>
        <v/>
      </c>
      <c r="R60" s="18">
        <f>IF(AND(R$4&gt;=$D60,R$4&lt;=$E60),IF(Tareas!$K51="Hecho","✓","■"),"")</f>
        <v/>
      </c>
    </row>
    <row r="61" ht="26" customHeight="1">
      <c r="A61" s="15">
        <f>Tareas!A52</f>
        <v/>
      </c>
      <c r="B61" s="15">
        <f>Tareas!B52</f>
        <v/>
      </c>
      <c r="C61" s="16">
        <f>Tareas!C52</f>
        <v/>
      </c>
      <c r="D61" s="17">
        <f>Tareas!E52</f>
        <v/>
      </c>
      <c r="E61" s="17">
        <f>Tareas!F52</f>
        <v/>
      </c>
      <c r="F61" s="18">
        <f>IF(AND(F$4&gt;=$D61,F$4&lt;=$E61),IF(Tareas!$K52="Hecho","✓","■"),"")</f>
        <v/>
      </c>
      <c r="G61" s="18">
        <f>IF(AND(G$4&gt;=$D61,G$4&lt;=$E61),IF(Tareas!$K52="Hecho","✓","■"),"")</f>
        <v/>
      </c>
      <c r="H61" s="18">
        <f>IF(AND(H$4&gt;=$D61,H$4&lt;=$E61),IF(Tareas!$K52="Hecho","✓","■"),"")</f>
        <v/>
      </c>
      <c r="I61" s="18">
        <f>IF(AND(I$4&gt;=$D61,I$4&lt;=$E61),IF(Tareas!$K52="Hecho","✓","■"),"")</f>
        <v/>
      </c>
      <c r="J61" s="18">
        <f>IF(AND(J$4&gt;=$D61,J$4&lt;=$E61),IF(Tareas!$K52="Hecho","✓","■"),"")</f>
        <v/>
      </c>
      <c r="K61" s="18">
        <f>IF(AND(K$4&gt;=$D61,K$4&lt;=$E61),IF(Tareas!$K52="Hecho","✓","■"),"")</f>
        <v/>
      </c>
      <c r="L61" s="18">
        <f>IF(AND(L$4&gt;=$D61,L$4&lt;=$E61),IF(Tareas!$K52="Hecho","✓","■"),"")</f>
        <v/>
      </c>
      <c r="M61" s="18">
        <f>IF(AND(M$4&gt;=$D61,M$4&lt;=$E61),IF(Tareas!$K52="Hecho","✓","■"),"")</f>
        <v/>
      </c>
      <c r="N61" s="18">
        <f>IF(AND(N$4&gt;=$D61,N$4&lt;=$E61),IF(Tareas!$K52="Hecho","✓","■"),"")</f>
        <v/>
      </c>
      <c r="O61" s="18">
        <f>IF(AND(O$4&gt;=$D61,O$4&lt;=$E61),IF(Tareas!$K52="Hecho","✓","■"),"")</f>
        <v/>
      </c>
      <c r="P61" s="18">
        <f>IF(AND(P$4&gt;=$D61,P$4&lt;=$E61),IF(Tareas!$K52="Hecho","✓","■"),"")</f>
        <v/>
      </c>
      <c r="Q61" s="18">
        <f>IF(AND(Q$4&gt;=$D61,Q$4&lt;=$E61),IF(Tareas!$K52="Hecho","✓","■"),"")</f>
        <v/>
      </c>
      <c r="R61" s="18">
        <f>IF(AND(R$4&gt;=$D61,R$4&lt;=$E61),IF(Tareas!$K52="Hecho","✓","■"),"")</f>
        <v/>
      </c>
    </row>
    <row r="63">
      <c r="C63" s="3" t="inlineStr">
        <is>
          <t>Horas estimadas por semana (tareas activas ÷ duración)</t>
        </is>
      </c>
      <c r="F63" s="19">
        <f>SUMPRODUCT((Tareas!$E$5:$E$52&lt;=F$4)*(Tareas!$F$5:$F$52&gt;=F$4)*Tareas!$G$5:$G$52/(Tareas!$F$5:$F$52-Tareas!$E$5:$E$52+1))</f>
        <v/>
      </c>
      <c r="G63" s="19">
        <f>SUMPRODUCT((Tareas!$E$5:$E$52&lt;=G$4)*(Tareas!$F$5:$F$52&gt;=G$4)*Tareas!$G$5:$G$52/(Tareas!$F$5:$F$52-Tareas!$E$5:$E$52+1))</f>
        <v/>
      </c>
      <c r="H63" s="19">
        <f>SUMPRODUCT((Tareas!$E$5:$E$52&lt;=H$4)*(Tareas!$F$5:$F$52&gt;=H$4)*Tareas!$G$5:$G$52/(Tareas!$F$5:$F$52-Tareas!$E$5:$E$52+1))</f>
        <v/>
      </c>
      <c r="I63" s="19">
        <f>SUMPRODUCT((Tareas!$E$5:$E$52&lt;=I$4)*(Tareas!$F$5:$F$52&gt;=I$4)*Tareas!$G$5:$G$52/(Tareas!$F$5:$F$52-Tareas!$E$5:$E$52+1))</f>
        <v/>
      </c>
      <c r="J63" s="19">
        <f>SUMPRODUCT((Tareas!$E$5:$E$52&lt;=J$4)*(Tareas!$F$5:$F$52&gt;=J$4)*Tareas!$G$5:$G$52/(Tareas!$F$5:$F$52-Tareas!$E$5:$E$52+1))</f>
        <v/>
      </c>
      <c r="K63" s="19">
        <f>SUMPRODUCT((Tareas!$E$5:$E$52&lt;=K$4)*(Tareas!$F$5:$F$52&gt;=K$4)*Tareas!$G$5:$G$52/(Tareas!$F$5:$F$52-Tareas!$E$5:$E$52+1))</f>
        <v/>
      </c>
      <c r="L63" s="19">
        <f>SUMPRODUCT((Tareas!$E$5:$E$52&lt;=L$4)*(Tareas!$F$5:$F$52&gt;=L$4)*Tareas!$G$5:$G$52/(Tareas!$F$5:$F$52-Tareas!$E$5:$E$52+1))</f>
        <v/>
      </c>
      <c r="M63" s="19">
        <f>SUMPRODUCT((Tareas!$E$5:$E$52&lt;=M$4)*(Tareas!$F$5:$F$52&gt;=M$4)*Tareas!$G$5:$G$52/(Tareas!$F$5:$F$52-Tareas!$E$5:$E$52+1))</f>
        <v/>
      </c>
      <c r="N63" s="19">
        <f>SUMPRODUCT((Tareas!$E$5:$E$52&lt;=N$4)*(Tareas!$F$5:$F$52&gt;=N$4)*Tareas!$G$5:$G$52/(Tareas!$F$5:$F$52-Tareas!$E$5:$E$52+1))</f>
        <v/>
      </c>
      <c r="O63" s="19">
        <f>SUMPRODUCT((Tareas!$E$5:$E$52&lt;=O$4)*(Tareas!$F$5:$F$52&gt;=O$4)*Tareas!$G$5:$G$52/(Tareas!$F$5:$F$52-Tareas!$E$5:$E$52+1))</f>
        <v/>
      </c>
      <c r="P63" s="19">
        <f>SUMPRODUCT((Tareas!$E$5:$E$52&lt;=P$4)*(Tareas!$F$5:$F$52&gt;=P$4)*Tareas!$G$5:$G$52/(Tareas!$F$5:$F$52-Tareas!$E$5:$E$52+1))</f>
        <v/>
      </c>
      <c r="Q63" s="19">
        <f>SUMPRODUCT((Tareas!$E$5:$E$52&lt;=Q$4)*(Tareas!$F$5:$F$52&gt;=Q$4)*Tareas!$G$5:$G$52/(Tareas!$F$5:$F$52-Tareas!$E$5:$E$52+1))</f>
        <v/>
      </c>
      <c r="R63" s="19">
        <f>SUMPRODUCT((Tareas!$E$5:$E$52&lt;=R$4)*(Tareas!$F$5:$F$52&gt;=R$4)*Tareas!$G$5:$G$52/(Tareas!$F$5:$F$52-Tareas!$E$5:$E$52+1))</f>
        <v/>
      </c>
    </row>
    <row r="64">
      <c r="C64" s="20" t="inlineStr">
        <is>
          <t>Rojo = más de 45 h en la semana: hay que mover algo.</t>
        </is>
      </c>
    </row>
  </sheetData>
  <conditionalFormatting sqref="F6:R61">
    <cfRule type="expression" priority="1" dxfId="0">
      <formula>AND(F6&lt;&gt;"",OR($A6="A12",$A6="M02",$A6="M03",$A6="X02"))</formula>
    </cfRule>
    <cfRule type="expression" priority="2" dxfId="1">
      <formula>F6="✓"</formula>
    </cfRule>
    <cfRule type="expression" priority="3" dxfId="2">
      <formula>F6="■"</formula>
    </cfRule>
  </conditionalFormatting>
  <conditionalFormatting sqref="F63:R63">
    <cfRule type="expression" priority="4" dxfId="3">
      <formula>F63&gt;45</formula>
    </cfRule>
  </conditionalFormatting>
  <pageMargins left="0.75" right="0.75" top="1" bottom="1" header="0.5" footer="0.5"/>
  <pageSetup orientation="landscape" fitToWidth="1"/>
</worksheet>
</file>

<file path=xl/worksheets/sheet3.xml><?xml version="1.0" encoding="utf-8"?>
<worksheet xmlns="http://schemas.openxmlformats.org/spreadsheetml/2006/main">
  <sheetPr>
    <outlinePr summaryBelow="1" summaryRight="1"/>
    <pageSetUpPr fitToPage="1"/>
  </sheetPr>
  <dimension ref="A1:K56"/>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14" customWidth="1" min="2" max="2"/>
    <col width="42" customWidth="1" min="3" max="3"/>
    <col width="60" customWidth="1" min="4" max="4"/>
    <col width="9" customWidth="1" min="5" max="5"/>
    <col width="9" customWidth="1" min="6" max="6"/>
    <col width="8" customWidth="1" min="7" max="7"/>
    <col width="12" customWidth="1" min="8" max="8"/>
    <col width="28" customWidth="1" min="9" max="9"/>
    <col width="32" customWidth="1" min="10" max="10"/>
    <col width="12" customWidth="1" min="11" max="11"/>
  </cols>
  <sheetData>
    <row r="1">
      <c r="A1" s="1" t="inlineStr">
        <is>
          <t>Tareas detalladas</t>
        </is>
      </c>
    </row>
    <row r="2">
      <c r="A2" s="2" t="inlineStr">
        <is>
          <t>Semanas 1–13 (7 set – 6 dic 2026). Edita solo la columna Estado (amarilla). Horas son estimación para una persona.</t>
        </is>
      </c>
    </row>
    <row r="4" ht="30" customHeight="1">
      <c r="A4" s="10" t="inlineStr">
        <is>
          <t>ID</t>
        </is>
      </c>
      <c r="B4" s="10" t="inlineStr">
        <is>
          <t>Frente</t>
        </is>
      </c>
      <c r="C4" s="10" t="inlineStr">
        <is>
          <t>Tarea</t>
        </is>
      </c>
      <c r="D4" s="10" t="inlineStr">
        <is>
          <t>Cómo / detalle</t>
        </is>
      </c>
      <c r="E4" s="10" t="inlineStr">
        <is>
          <t>Semana inicio</t>
        </is>
      </c>
      <c r="F4" s="10" t="inlineStr">
        <is>
          <t>Semana fin</t>
        </is>
      </c>
      <c r="G4" s="10" t="inlineStr">
        <is>
          <t>Horas est.</t>
        </is>
      </c>
      <c r="H4" s="10" t="inlineStr">
        <is>
          <t>Depende de</t>
        </is>
      </c>
      <c r="I4" s="10" t="inlineStr">
        <is>
          <t>Entregable</t>
        </is>
      </c>
      <c r="J4" s="10" t="inlineStr">
        <is>
          <t>Criterio de hecho</t>
        </is>
      </c>
      <c r="K4" s="10" t="inlineStr">
        <is>
          <t>Estado</t>
        </is>
      </c>
    </row>
    <row r="5">
      <c r="A5" s="21" t="inlineStr">
        <is>
          <t>A01</t>
        </is>
      </c>
      <c r="B5" s="21" t="inlineStr">
        <is>
          <t>Cuentas y tiendas</t>
        </is>
      </c>
      <c r="C5" s="21" t="inlineStr">
        <is>
          <t>Solicitar Apple Developer Program (individual, US$99)</t>
        </is>
      </c>
      <c r="D5" s="21" t="inlineStr">
        <is>
          <t>Nombre legal exacto como en DNI. Si pide ID, responder el mismo día. Es la cola más larga del plan.</t>
        </is>
      </c>
      <c r="E5" s="22" t="n">
        <v>1</v>
      </c>
      <c r="F5" s="22" t="n">
        <v>1</v>
      </c>
      <c r="G5" s="22" t="n">
        <v>1</v>
      </c>
      <c r="H5" s="21" t="inlineStr"/>
      <c r="I5" s="21" t="inlineStr">
        <is>
          <t>Cuenta activa</t>
        </is>
      </c>
      <c r="J5" s="21" t="inlineStr">
        <is>
          <t>Estado 'Active' en developer.apple.com</t>
        </is>
      </c>
      <c r="K5" s="23" t="inlineStr">
        <is>
          <t>Pendiente</t>
        </is>
      </c>
    </row>
    <row r="6">
      <c r="A6" s="21" t="inlineStr">
        <is>
          <t>A02</t>
        </is>
      </c>
      <c r="B6" s="21" t="inlineStr">
        <is>
          <t>Cuentas y tiendas</t>
        </is>
      </c>
      <c r="C6" s="21" t="inlineStr">
        <is>
          <t>Crear cuenta Google Play Console (US$25)</t>
        </is>
      </c>
      <c r="D6" s="21" t="inlineStr">
        <is>
          <t>Verificar identidad. Anotar si la cuenta es personal (aplica regla 12 testers/14 días) o de organización (no aplica).</t>
        </is>
      </c>
      <c r="E6" s="22" t="n">
        <v>1</v>
      </c>
      <c r="F6" s="22" t="n">
        <v>1</v>
      </c>
      <c r="G6" s="22" t="n">
        <v>1</v>
      </c>
      <c r="H6" s="21" t="inlineStr"/>
      <c r="I6" s="21" t="inlineStr">
        <is>
          <t>Cuenta verificada</t>
        </is>
      </c>
      <c r="J6" s="21" t="inlineStr">
        <is>
          <t>Acceso a Play Console</t>
        </is>
      </c>
      <c r="K6" s="23" t="inlineStr">
        <is>
          <t>Pendiente</t>
        </is>
      </c>
    </row>
    <row r="7">
      <c r="A7" s="21" t="inlineStr">
        <is>
          <t>A03</t>
        </is>
      </c>
      <c r="B7" s="21" t="inlineStr">
        <is>
          <t>Cuentas y tiendas</t>
        </is>
      </c>
      <c r="C7" s="21" t="inlineStr">
        <is>
          <t>Cuenta EAS (Expo) + proyecto vinculado</t>
        </is>
      </c>
      <c r="D7" s="21" t="inlineStr">
        <is>
          <t>eas init, eas build:configure. Plan gratuito alcanza para el trimestre.</t>
        </is>
      </c>
      <c r="E7" s="22" t="n">
        <v>1</v>
      </c>
      <c r="F7" s="22" t="n">
        <v>1</v>
      </c>
      <c r="G7" s="22" t="n">
        <v>2</v>
      </c>
      <c r="H7" s="21" t="inlineStr"/>
      <c r="I7" s="21" t="inlineStr">
        <is>
          <t>eas.json en repo</t>
        </is>
      </c>
      <c r="J7" s="21" t="inlineStr">
        <is>
          <t>Primer build de desarrollo iOS/Android corre</t>
        </is>
      </c>
      <c r="K7" s="23" t="inlineStr">
        <is>
          <t>Pendiente</t>
        </is>
      </c>
    </row>
    <row r="8">
      <c r="A8" s="21" t="inlineStr">
        <is>
          <t>A04</t>
        </is>
      </c>
      <c r="B8" s="21" t="inlineStr">
        <is>
          <t>Cuentas y tiendas</t>
        </is>
      </c>
      <c r="C8" s="21" t="inlineStr">
        <is>
          <t>RevenueCat (o expo-iap) configurado</t>
        </is>
      </c>
      <c r="D8" s="21" t="inlineStr">
        <is>
          <t>Productos: fixly_mensual (S/14,90) y fixly_anual. Trial 14 días como oferta introductoria en ambas tiendas.</t>
        </is>
      </c>
      <c r="E8" s="22" t="n">
        <v>3</v>
      </c>
      <c r="F8" s="22" t="n">
        <v>3</v>
      </c>
      <c r="G8" s="22" t="n">
        <v>4</v>
      </c>
      <c r="H8" s="21" t="inlineStr">
        <is>
          <t>A01,A02</t>
        </is>
      </c>
      <c r="I8" s="21" t="inlineStr">
        <is>
          <t>Productos creados en App Store Connect y Play Console</t>
        </is>
      </c>
      <c r="J8" s="21" t="inlineStr">
        <is>
          <t>Compra sandbox funciona en ambos</t>
        </is>
      </c>
      <c r="K8" s="23" t="inlineStr">
        <is>
          <t>Pendiente</t>
        </is>
      </c>
    </row>
    <row r="9">
      <c r="A9" s="21" t="inlineStr">
        <is>
          <t>A05</t>
        </is>
      </c>
      <c r="B9" s="21" t="inlineStr">
        <is>
          <t>Cuentas y tiendas</t>
        </is>
      </c>
      <c r="C9" s="21" t="inlineStr">
        <is>
          <t>Política de privacidad + términos (página estática)</t>
        </is>
      </c>
      <c r="D9" s="21" t="inlineStr">
        <is>
          <t>Ley 29733 (datos personales, Perú). Qué guardas: placa, km, manual. Publicar en tu VPS. Ambas tiendas la exigen.</t>
        </is>
      </c>
      <c r="E9" s="22" t="n">
        <v>2</v>
      </c>
      <c r="F9" s="22" t="n">
        <v>2</v>
      </c>
      <c r="G9" s="22" t="n">
        <v>3</v>
      </c>
      <c r="H9" s="21" t="inlineStr"/>
      <c r="I9" s="21" t="inlineStr">
        <is>
          <t>URL pública</t>
        </is>
      </c>
      <c r="J9" s="21" t="inlineStr">
        <is>
          <t>URL cargada en App Store Connect y Play Console</t>
        </is>
      </c>
      <c r="K9" s="23" t="inlineStr">
        <is>
          <t>Pendiente</t>
        </is>
      </c>
    </row>
    <row r="10">
      <c r="A10" s="21" t="inlineStr">
        <is>
          <t>A06</t>
        </is>
      </c>
      <c r="B10" s="21" t="inlineStr">
        <is>
          <t>Cuentas y tiendas</t>
        </is>
      </c>
      <c r="C10" s="21" t="inlineStr">
        <is>
          <t>Ficha de tienda: nombre, subtítulo, descripción, capturas, ícono</t>
        </is>
      </c>
      <c r="D10" s="21" t="inlineStr">
        <is>
          <t>6 capturas por plataforma con el flujo real (placa → manual → plan). Texto para el joven, no para el mecánico.</t>
        </is>
      </c>
      <c r="E10" s="22" t="n">
        <v>7</v>
      </c>
      <c r="F10" s="22" t="n">
        <v>7</v>
      </c>
      <c r="G10" s="22" t="n">
        <v>8</v>
      </c>
      <c r="H10" s="21" t="inlineStr">
        <is>
          <t>P05,P04</t>
        </is>
      </c>
      <c r="I10" s="21" t="inlineStr">
        <is>
          <t>Assets subidos</t>
        </is>
      </c>
      <c r="J10" s="21" t="inlineStr">
        <is>
          <t>Ficha completa en ambas consolas</t>
        </is>
      </c>
      <c r="K10" s="23" t="inlineStr">
        <is>
          <t>Pendiente</t>
        </is>
      </c>
    </row>
    <row r="11">
      <c r="A11" s="21" t="inlineStr">
        <is>
          <t>A07</t>
        </is>
      </c>
      <c r="B11" s="21" t="inlineStr">
        <is>
          <t>Cuentas y tiendas</t>
        </is>
      </c>
      <c r="C11" s="21" t="inlineStr">
        <is>
          <t>TestFlight interno (hasta 100 testers, sin revisión)</t>
        </is>
      </c>
      <c r="D11" s="21" t="inlineStr">
        <is>
          <t>Build de producción iOS al grupo interno. Enlace público de TestFlight para las entrevistas de la ronda 2.</t>
        </is>
      </c>
      <c r="E11" s="22" t="n">
        <v>4</v>
      </c>
      <c r="F11" s="22" t="n">
        <v>4</v>
      </c>
      <c r="G11" s="22" t="n">
        <v>2</v>
      </c>
      <c r="H11" s="21" t="inlineStr">
        <is>
          <t>A01,P04</t>
        </is>
      </c>
      <c r="I11" s="21" t="inlineStr">
        <is>
          <t>Enlace TestFlight</t>
        </is>
      </c>
      <c r="J11" s="21" t="inlineStr">
        <is>
          <t>≥5 personas instalaron</t>
        </is>
      </c>
      <c r="K11" s="23" t="inlineStr">
        <is>
          <t>Pendiente</t>
        </is>
      </c>
    </row>
    <row r="12">
      <c r="A12" s="21" t="inlineStr">
        <is>
          <t>A08</t>
        </is>
      </c>
      <c r="B12" s="21" t="inlineStr">
        <is>
          <t>Cuentas y tiendas</t>
        </is>
      </c>
      <c r="C12" s="21" t="inlineStr">
        <is>
          <t>Prueba cerrada Google Play: reclutar 12+ testers reales</t>
        </is>
      </c>
      <c r="D12" s="21" t="inlineStr">
        <is>
          <t>Reclutar 15 (margen). Amigos con Android que de verdad abran la app. Lista de correos en Play Console. El reloj de 14 días arranca cuando hay 12 opt-in.</t>
        </is>
      </c>
      <c r="E12" s="22" t="n">
        <v>4</v>
      </c>
      <c r="F12" s="22" t="n">
        <v>5</v>
      </c>
      <c r="G12" s="22" t="n">
        <v>4</v>
      </c>
      <c r="H12" s="21" t="inlineStr">
        <is>
          <t>A02,P04</t>
        </is>
      </c>
      <c r="I12" s="21" t="inlineStr">
        <is>
          <t>Track cerrado con 15 opt-in</t>
        </is>
      </c>
      <c r="J12" s="21" t="inlineStr">
        <is>
          <t>12 opt-in continuos confirmados en consola</t>
        </is>
      </c>
      <c r="K12" s="23" t="inlineStr">
        <is>
          <t>Pendiente</t>
        </is>
      </c>
    </row>
    <row r="13">
      <c r="A13" s="21" t="inlineStr">
        <is>
          <t>A09</t>
        </is>
      </c>
      <c r="B13" s="21" t="inlineStr">
        <is>
          <t>Cuentas y tiendas</t>
        </is>
      </c>
      <c r="C13" s="21" t="inlineStr">
        <is>
          <t>Prueba cerrada Google Play: 14 días continuos con uso</t>
        </is>
      </c>
      <c r="D13" s="21" t="inlineStr">
        <is>
          <t>No tocar el track. Recordar a los testers que abran la app 2 veces por semana (Google verifica uso en 2026).</t>
        </is>
      </c>
      <c r="E13" s="22" t="n">
        <v>5</v>
      </c>
      <c r="F13" s="22" t="n">
        <v>7</v>
      </c>
      <c r="G13" s="22" t="n">
        <v>2</v>
      </c>
      <c r="H13" s="21" t="inlineStr">
        <is>
          <t>A08</t>
        </is>
      </c>
      <c r="I13" s="21" t="inlineStr">
        <is>
          <t>14 días completados</t>
        </is>
      </c>
      <c r="J13" s="21" t="inlineStr">
        <is>
          <t>Botón 'Solicitar acceso a producción' habilitado</t>
        </is>
      </c>
      <c r="K13" s="23" t="inlineStr">
        <is>
          <t>Pendiente</t>
        </is>
      </c>
    </row>
    <row r="14">
      <c r="A14" s="21" t="inlineStr">
        <is>
          <t>A10</t>
        </is>
      </c>
      <c r="B14" s="21" t="inlineStr">
        <is>
          <t>Cuentas y tiendas</t>
        </is>
      </c>
      <c r="C14" s="21" t="inlineStr">
        <is>
          <t>Enviar a revisión App Store</t>
        </is>
      </c>
      <c r="D14" s="21" t="inlineStr">
        <is>
          <t>Primera app: 2–5 días. Adjuntar cuenta demo no aplica (no hay login). Explicar en notas que la placa se consulta a API pública. Enviar el LUNES de la semana 8.</t>
        </is>
      </c>
      <c r="E14" s="22" t="n">
        <v>8</v>
      </c>
      <c r="F14" s="22" t="n">
        <v>8</v>
      </c>
      <c r="G14" s="22" t="n">
        <v>2</v>
      </c>
      <c r="H14" s="21" t="inlineStr">
        <is>
          <t>A04,A05,A06,P12</t>
        </is>
      </c>
      <c r="I14" s="21" t="inlineStr">
        <is>
          <t>App 'Waiting for Review'</t>
        </is>
      </c>
      <c r="J14" s="21" t="inlineStr">
        <is>
          <t>Estado 'Ready for Sale'</t>
        </is>
      </c>
      <c r="K14" s="23" t="inlineStr">
        <is>
          <t>Pendiente</t>
        </is>
      </c>
    </row>
    <row r="15">
      <c r="A15" s="21" t="inlineStr">
        <is>
          <t>A11</t>
        </is>
      </c>
      <c r="B15" s="21" t="inlineStr">
        <is>
          <t>Cuentas y tiendas</t>
        </is>
      </c>
      <c r="C15" s="21" t="inlineStr">
        <is>
          <t>Solicitar producción Google Play</t>
        </is>
      </c>
      <c r="D15" s="21" t="inlineStr">
        <is>
          <t>Formulario de acceso a producción. Responde en 1–7 días.</t>
        </is>
      </c>
      <c r="E15" s="22" t="n">
        <v>8</v>
      </c>
      <c r="F15" s="22" t="n">
        <v>8</v>
      </c>
      <c r="G15" s="22" t="n">
        <v>1</v>
      </c>
      <c r="H15" s="21" t="inlineStr">
        <is>
          <t>A09</t>
        </is>
      </c>
      <c r="I15" s="21" t="inlineStr">
        <is>
          <t>Solicitud enviada</t>
        </is>
      </c>
      <c r="J15" s="21" t="inlineStr">
        <is>
          <t>Estado 'Producción' publicado</t>
        </is>
      </c>
      <c r="K15" s="23" t="inlineStr">
        <is>
          <t>Pendiente</t>
        </is>
      </c>
    </row>
    <row r="16">
      <c r="A16" s="21" t="inlineStr">
        <is>
          <t>A12</t>
        </is>
      </c>
      <c r="B16" s="21" t="inlineStr">
        <is>
          <t>Cuentas y tiendas</t>
        </is>
      </c>
      <c r="C16" s="21" t="inlineStr">
        <is>
          <t>PUBLICACIÓN en ambas tiendas</t>
        </is>
      </c>
      <c r="D16" s="21" t="inlineStr">
        <is>
          <t>Hito. Día 0 de los 60.</t>
        </is>
      </c>
      <c r="E16" s="22" t="n">
        <v>8</v>
      </c>
      <c r="F16" s="22" t="n">
        <v>8</v>
      </c>
      <c r="G16" s="22" t="n">
        <v>0</v>
      </c>
      <c r="H16" s="21" t="inlineStr">
        <is>
          <t>A10,A11</t>
        </is>
      </c>
      <c r="I16" s="21" t="inlineStr">
        <is>
          <t>App en App Store y Play Store</t>
        </is>
      </c>
      <c r="J16" s="21" t="inlineStr">
        <is>
          <t>Enlaces públicos funcionando</t>
        </is>
      </c>
      <c r="K16" s="23" t="inlineStr">
        <is>
          <t>Pendiente</t>
        </is>
      </c>
    </row>
    <row r="17">
      <c r="A17" s="21" t="inlineStr">
        <is>
          <t>P01</t>
        </is>
      </c>
      <c r="B17" s="21" t="inlineStr">
        <is>
          <t>Producto</t>
        </is>
      </c>
      <c r="C17" s="21" t="inlineStr">
        <is>
          <t>Podar el repo: quitar mapa, documentos, proforma, reportes, chatbot, cuenta; ocultar moto</t>
        </is>
      </c>
      <c r="D17" s="21" t="inlineStr">
        <is>
          <t>Rutas fuera del Stack y del home. Código de moto se queda sin picker. Commit en inglés.</t>
        </is>
      </c>
      <c r="E17" s="22" t="n">
        <v>1</v>
      </c>
      <c r="F17" s="22" t="n">
        <v>1</v>
      </c>
      <c r="G17" s="22" t="n">
        <v>6</v>
      </c>
      <c r="H17" s="21" t="inlineStr"/>
      <c r="I17" s="21" t="inlineStr">
        <is>
          <t>Rama v1 limpia</t>
        </is>
      </c>
      <c r="J17" s="21" t="inlineStr">
        <is>
          <t>14 rutas → 10; app compila</t>
        </is>
      </c>
      <c r="K17" s="23" t="inlineStr">
        <is>
          <t>Pendiente</t>
        </is>
      </c>
    </row>
    <row r="18">
      <c r="A18" s="21" t="inlineStr">
        <is>
          <t>P02</t>
        </is>
      </c>
      <c r="B18" s="21" t="inlineStr">
        <is>
          <t>Producto</t>
        </is>
      </c>
      <c r="C18" s="21" t="inlineStr">
        <is>
          <t>Backend mínimo: /placa (json.pe) + /manual (subida)</t>
        </is>
      </c>
      <c r="D18" s="21" t="inlineStr">
        <is>
          <t>Un servicio (Vercel/Railway). Alerta de consumo de créditos json.pe. Guardar PDF en storage.</t>
        </is>
      </c>
      <c r="E18" s="22" t="n">
        <v>1</v>
      </c>
      <c r="F18" s="22" t="n">
        <v>2</v>
      </c>
      <c r="G18" s="22" t="n">
        <v>16</v>
      </c>
      <c r="H18" s="21" t="inlineStr"/>
      <c r="I18" s="21" t="inlineStr">
        <is>
          <t>Backend desplegado</t>
        </is>
      </c>
      <c r="J18" s="21" t="inlineStr">
        <is>
          <t>Placa real devuelve marca/modelo/año; PDF sube</t>
        </is>
      </c>
      <c r="K18" s="23" t="inlineStr">
        <is>
          <t>Pendiente</t>
        </is>
      </c>
    </row>
    <row r="19">
      <c r="A19" s="21" t="inlineStr">
        <is>
          <t>P03</t>
        </is>
      </c>
      <c r="B19" s="21" t="inlineStr">
        <is>
          <t>Producto</t>
        </is>
      </c>
      <c r="C19" s="21" t="inlineStr">
        <is>
          <t>Extracción del manual v0 (LLM) + checklist de revisión manual</t>
        </is>
      </c>
      <c r="D19" s="21" t="inlineStr">
        <is>
          <t>Prompt de detalle-auto/manual-extraction-prompt.md. Salida: intervalos por componente con página de origen. Tú revisas cada modelo ANTES de publicarlo.</t>
        </is>
      </c>
      <c r="E19" s="22" t="n">
        <v>2</v>
      </c>
      <c r="F19" s="22" t="n">
        <v>3</v>
      </c>
      <c r="G19" s="22" t="n">
        <v>20</v>
      </c>
      <c r="H19" s="21" t="inlineStr">
        <is>
          <t>P02,E01</t>
        </is>
      </c>
      <c r="I19" s="21" t="inlineStr">
        <is>
          <t>Pipeline + tabla de specs por modelo</t>
        </is>
      </c>
      <c r="J19" s="21" t="inlineStr">
        <is>
          <t>3 manuales extraídos y revisados con página citada</t>
        </is>
      </c>
      <c r="K19" s="23" t="inlineStr">
        <is>
          <t>Pendiente</t>
        </is>
      </c>
    </row>
    <row r="20">
      <c r="A20" s="21" t="inlineStr">
        <is>
          <t>P04</t>
        </is>
      </c>
      <c r="B20" s="21" t="inlineStr">
        <is>
          <t>Producto</t>
        </is>
      </c>
      <c r="C20" s="21" t="inlineStr">
        <is>
          <t>Trial 14 días + paywall (bloqueo total) + IAP</t>
        </is>
      </c>
      <c r="D20" s="21" t="inlineStr">
        <is>
          <t>Estado de suscripción desde RevenueCat. Pantalla de bloqueo con el plan del usuario visible detrás, desenfocado.</t>
        </is>
      </c>
      <c r="E20" s="22" t="n">
        <v>3</v>
      </c>
      <c r="F20" s="22" t="n">
        <v>4</v>
      </c>
      <c r="G20" s="22" t="n">
        <v>14</v>
      </c>
      <c r="H20" s="21" t="inlineStr">
        <is>
          <t>A04</t>
        </is>
      </c>
      <c r="I20" s="21" t="inlineStr">
        <is>
          <t>Paywall funcional</t>
        </is>
      </c>
      <c r="J20" s="21" t="inlineStr">
        <is>
          <t>Trial → bloqueo → compra sandbox → desbloqueo</t>
        </is>
      </c>
      <c r="K20" s="23" t="inlineStr">
        <is>
          <t>Pendiente</t>
        </is>
      </c>
    </row>
    <row r="21">
      <c r="A21" s="21" t="inlineStr">
        <is>
          <t>P05</t>
        </is>
      </c>
      <c r="B21" s="21" t="inlineStr">
        <is>
          <t>Producto</t>
        </is>
      </c>
      <c r="C21" s="21" t="inlineStr">
        <is>
          <t>Kilometraje: campo al abrir (&gt;7 días) + estimado por promedio</t>
        </is>
      </c>
      <c r="D21" s="21" t="inlineStr">
        <is>
          <t>Cada lectura es un registro nuevo. Etiqueta 'estimado' visible.</t>
        </is>
      </c>
      <c r="E21" s="22" t="n">
        <v>2</v>
      </c>
      <c r="F21" s="22" t="n">
        <v>2</v>
      </c>
      <c r="G21" s="22" t="n">
        <v>6</v>
      </c>
      <c r="H21" s="21" t="inlineStr"/>
      <c r="I21" s="21" t="inlineStr">
        <is>
          <t>KmPrompt conectado</t>
        </is>
      </c>
      <c r="J21" s="21" t="inlineStr">
        <is>
          <t>Estimado aparece tras 8 días sin lectura</t>
        </is>
      </c>
      <c r="K21" s="23" t="inlineStr">
        <is>
          <t>Pendiente</t>
        </is>
      </c>
    </row>
    <row r="22">
      <c r="A22" s="21" t="inlineStr">
        <is>
          <t>P06</t>
        </is>
      </c>
      <c r="B22" s="21" t="inlineStr">
        <is>
          <t>Producto</t>
        </is>
      </c>
      <c r="C22" s="21" t="inlineStr">
        <is>
          <t>Notificaciones locales: km cada 14 días + servicio próximo</t>
        </is>
      </c>
      <c r="D22" s="21" t="inlineStr">
        <is>
          <t>expo-notifications local. Permiso pedido en el momento útil, no en onboarding.</t>
        </is>
      </c>
      <c r="E22" s="22" t="n">
        <v>4</v>
      </c>
      <c r="F22" s="22" t="n">
        <v>4</v>
      </c>
      <c r="G22" s="22" t="n">
        <v>6</v>
      </c>
      <c r="H22" s="21" t="inlineStr">
        <is>
          <t>P05</t>
        </is>
      </c>
      <c r="I22" s="21" t="inlineStr">
        <is>
          <t>Avisos programados</t>
        </is>
      </c>
      <c r="J22" s="21" t="inlineStr">
        <is>
          <t>Aviso llega a los 14 días en dev build</t>
        </is>
      </c>
      <c r="K22" s="23" t="inlineStr">
        <is>
          <t>Pendiente</t>
        </is>
      </c>
    </row>
    <row r="23">
      <c r="A23" s="21" t="inlineStr">
        <is>
          <t>P07</t>
        </is>
      </c>
      <c r="B23" s="21" t="inlineStr">
        <is>
          <t>Producto</t>
        </is>
      </c>
      <c r="C23" s="21" t="inlineStr">
        <is>
          <t>Auto usado: 'asumir que todo se hizo al comprarlo'</t>
        </is>
      </c>
      <c r="D23" s="21" t="inlineStr">
        <is>
          <t>Botón en el primer uso: fija fecha y km de compra como última vez de cada servicio.</t>
        </is>
      </c>
      <c r="E23" s="22" t="n">
        <v>2</v>
      </c>
      <c r="F23" s="22" t="n">
        <v>2</v>
      </c>
      <c r="G23" s="22" t="n">
        <v>4</v>
      </c>
      <c r="H23" s="21" t="inlineStr"/>
      <c r="I23" s="21" t="inlineStr">
        <is>
          <t>Flujo de primer uso</t>
        </is>
      </c>
      <c r="J23" s="21" t="inlineStr">
        <is>
          <t>Plan calcula desde km de compra</t>
        </is>
      </c>
      <c r="K23" s="23" t="inlineStr">
        <is>
          <t>Pendiente</t>
        </is>
      </c>
    </row>
    <row r="24">
      <c r="A24" s="21" t="inlineStr">
        <is>
          <t>P08</t>
        </is>
      </c>
      <c r="B24" s="21" t="inlineStr">
        <is>
          <t>Producto</t>
        </is>
      </c>
      <c r="C24" s="21" t="inlineStr">
        <is>
          <t>Precargar 10 modelos (por si el usuario no tiene PDF)</t>
        </is>
      </c>
      <c r="D24" s="21" t="inlineStr">
        <is>
          <t>Decidido por E01. Manuales públicos de fabricante: Yaris, Rio, Accent, CS35 Plus, Tiggo 2, Spark, Onix, Swift, Sentra, Versa (ajustar según entrevistas).</t>
        </is>
      </c>
      <c r="E24" s="22" t="n">
        <v>4</v>
      </c>
      <c r="F24" s="22" t="n">
        <v>5</v>
      </c>
      <c r="G24" s="22" t="n">
        <v>20</v>
      </c>
      <c r="H24" s="21" t="inlineStr">
        <is>
          <t>E01,P03</t>
        </is>
      </c>
      <c r="I24" s="21" t="inlineStr">
        <is>
          <t>10 specs revisadas</t>
        </is>
      </c>
      <c r="J24" s="21" t="inlineStr">
        <is>
          <t>Cada spec con fuente y página</t>
        </is>
      </c>
      <c r="K24" s="23" t="inlineStr">
        <is>
          <t>Pendiente</t>
        </is>
      </c>
    </row>
    <row r="25">
      <c r="A25" s="21" t="inlineStr">
        <is>
          <t>P09</t>
        </is>
      </c>
      <c r="B25" s="21" t="inlineStr">
        <is>
          <t>Producto</t>
        </is>
      </c>
      <c r="C25" s="21" t="inlineStr">
        <is>
          <t>Estados: carga, vacío, error de placa, sin conexión</t>
        </is>
      </c>
      <c r="D25" s="21" t="inlineStr">
        <is>
          <t>PANTALLAS.md sección 'Estados que hay que pedir'. Sin spinners.</t>
        </is>
      </c>
      <c r="E25" s="22" t="n">
        <v>3</v>
      </c>
      <c r="F25" s="22" t="n">
        <v>3</v>
      </c>
      <c r="G25" s="22" t="n">
        <v>6</v>
      </c>
      <c r="H25" s="21" t="inlineStr"/>
      <c r="I25" s="21" t="inlineStr">
        <is>
          <t>Estados en 4 pantallas</t>
        </is>
      </c>
      <c r="J25" s="21" t="inlineStr">
        <is>
          <t>QA manual en simulador</t>
        </is>
      </c>
      <c r="K25" s="23" t="inlineStr">
        <is>
          <t>Pendiente</t>
        </is>
      </c>
    </row>
    <row r="26">
      <c r="A26" s="21" t="inlineStr">
        <is>
          <t>P10</t>
        </is>
      </c>
      <c r="B26" s="21" t="inlineStr">
        <is>
          <t>Producto</t>
        </is>
      </c>
      <c r="C26" s="21" t="inlineStr">
        <is>
          <t>Exportar plan como imagen compartible (con marca Fixly)</t>
        </is>
      </c>
      <c r="D26" s="21" t="inlineStr">
        <is>
          <t>Único mecanismo de referido sin backend. react-native-view-shot + share.</t>
        </is>
      </c>
      <c r="E26" s="22" t="n">
        <v>7</v>
      </c>
      <c r="F26" s="22" t="n">
        <v>7</v>
      </c>
      <c r="G26" s="22" t="n">
        <v>6</v>
      </c>
      <c r="H26" s="21" t="inlineStr"/>
      <c r="I26" s="21" t="inlineStr">
        <is>
          <t>Botón 'Compartir plan'</t>
        </is>
      </c>
      <c r="J26" s="21" t="inlineStr">
        <is>
          <t>Imagen sale por WhatsApp</t>
        </is>
      </c>
      <c r="K26" s="23" t="inlineStr">
        <is>
          <t>Pendiente</t>
        </is>
      </c>
    </row>
    <row r="27">
      <c r="A27" s="21" t="inlineStr">
        <is>
          <t>P11</t>
        </is>
      </c>
      <c r="B27" s="21" t="inlineStr">
        <is>
          <t>Producto</t>
        </is>
      </c>
      <c r="C27" s="21" t="inlineStr">
        <is>
          <t>Analítica de producto (PostHog): embudo placa→manual→plan→km→trial→pago</t>
        </is>
      </c>
      <c r="D27" s="21" t="inlineStr">
        <is>
          <t>Eventos con nombres fijos. Sin PII. Es lo que alimenta la hoja Métricas.</t>
        </is>
      </c>
      <c r="E27" s="22" t="n">
        <v>5</v>
      </c>
      <c r="F27" s="22" t="n">
        <v>5</v>
      </c>
      <c r="G27" s="22" t="n">
        <v>5</v>
      </c>
      <c r="H27" s="21" t="inlineStr"/>
      <c r="I27" s="21" t="inlineStr">
        <is>
          <t>Dashboard de embudo</t>
        </is>
      </c>
      <c r="J27" s="21" t="inlineStr">
        <is>
          <t>7 eventos visibles en PostHog</t>
        </is>
      </c>
      <c r="K27" s="23" t="inlineStr">
        <is>
          <t>Pendiente</t>
        </is>
      </c>
    </row>
    <row r="28">
      <c r="A28" s="21" t="inlineStr">
        <is>
          <t>P12</t>
        </is>
      </c>
      <c r="B28" s="21" t="inlineStr">
        <is>
          <t>Producto</t>
        </is>
      </c>
      <c r="C28" s="21" t="inlineStr">
        <is>
          <t>QA en dispositivos reales (iOS + 2 Android baratos)</t>
        </is>
      </c>
      <c r="D28" s="21" t="inlineStr">
        <is>
          <t>Samsung/Xiaomi de gama baja: es lo que tiene el usuario. Teclado, permisos, notificaciones.</t>
        </is>
      </c>
      <c r="E28" s="22" t="n">
        <v>7</v>
      </c>
      <c r="F28" s="22" t="n">
        <v>8</v>
      </c>
      <c r="G28" s="22" t="n">
        <v>10</v>
      </c>
      <c r="H28" s="21" t="inlineStr">
        <is>
          <t>P04,P06</t>
        </is>
      </c>
      <c r="I28" s="21" t="inlineStr">
        <is>
          <t>Lista de bugs cerrada</t>
        </is>
      </c>
      <c r="J28" s="21" t="inlineStr">
        <is>
          <t>0 bugs bloqueantes</t>
        </is>
      </c>
      <c r="K28" s="23" t="inlineStr">
        <is>
          <t>Pendiente</t>
        </is>
      </c>
    </row>
    <row r="29">
      <c r="A29" s="21" t="inlineStr">
        <is>
          <t>P13</t>
        </is>
      </c>
      <c r="B29" s="21" t="inlineStr">
        <is>
          <t>Producto</t>
        </is>
      </c>
      <c r="C29" s="21" t="inlineStr">
        <is>
          <t>Correcciones post-lanzamiento (semanal)</t>
        </is>
      </c>
      <c r="D29" s="21" t="inlineStr">
        <is>
          <t>Reservar 1 día/semana. Sin funciones nuevas hasta la semana 13.</t>
        </is>
      </c>
      <c r="E29" s="22" t="n">
        <v>9</v>
      </c>
      <c r="F29" s="22" t="n">
        <v>13</v>
      </c>
      <c r="G29" s="22" t="n">
        <v>25</v>
      </c>
      <c r="H29" s="21" t="inlineStr">
        <is>
          <t>A12</t>
        </is>
      </c>
      <c r="I29" s="21" t="inlineStr">
        <is>
          <t>Releases semanales</t>
        </is>
      </c>
      <c r="J29" s="21" t="inlineStr">
        <is>
          <t>Crash-free ≥ 99%</t>
        </is>
      </c>
      <c r="K29" s="23" t="inlineStr">
        <is>
          <t>Pendiente</t>
        </is>
      </c>
    </row>
    <row r="30">
      <c r="A30" s="21" t="inlineStr">
        <is>
          <t>E01</t>
        </is>
      </c>
      <c r="B30" s="21" t="inlineStr">
        <is>
          <t>Entrevistas</t>
        </is>
      </c>
      <c r="C30" s="21" t="inlineStr">
        <is>
          <t>Ronda 1: 10 entrevistas de problema (¿tiene el PDF?)</t>
        </is>
      </c>
      <c r="D30" s="21" t="inlineStr">
        <is>
          <t>Jóvenes con primer auto, 20–30 min por videollamada o café. Guion en hoja Entrevistas. Decide P08.</t>
        </is>
      </c>
      <c r="E30" s="22" t="n">
        <v>1</v>
      </c>
      <c r="F30" s="22" t="n">
        <v>2</v>
      </c>
      <c r="G30" s="22" t="n">
        <v>12</v>
      </c>
      <c r="H30" s="21" t="inlineStr"/>
      <c r="I30" s="21" t="inlineStr">
        <is>
          <t>10 fichas llenas</t>
        </is>
      </c>
      <c r="J30" s="21" t="inlineStr">
        <is>
          <t>Sabes el % que tiene el PDF y de dónde</t>
        </is>
      </c>
      <c r="K30" s="23" t="inlineStr">
        <is>
          <t>Pendiente</t>
        </is>
      </c>
    </row>
    <row r="31">
      <c r="A31" s="21" t="inlineStr">
        <is>
          <t>E02</t>
        </is>
      </c>
      <c r="B31" s="21" t="inlineStr">
        <is>
          <t>Entrevistas</t>
        </is>
      </c>
      <c r="C31" s="21" t="inlineStr">
        <is>
          <t>Ronda 2: 8 pruebas de uso con TestFlight/APK</t>
        </is>
      </c>
      <c r="D31" s="21" t="inlineStr">
        <is>
          <t>Los ves subir SU manual y leer SU plan. Grabar pantalla con permiso. Anotar dónde se traban.</t>
        </is>
      </c>
      <c r="E31" s="22" t="n">
        <v>5</v>
      </c>
      <c r="F31" s="22" t="n">
        <v>6</v>
      </c>
      <c r="G31" s="22" t="n">
        <v>10</v>
      </c>
      <c r="H31" s="21" t="inlineStr">
        <is>
          <t>A07,E01</t>
        </is>
      </c>
      <c r="I31" s="21" t="inlineStr">
        <is>
          <t>8 grabaciones + lista de fricciones</t>
        </is>
      </c>
      <c r="J31" s="21" t="inlineStr">
        <is>
          <t>Top 5 fricciones priorizadas en P12</t>
        </is>
      </c>
      <c r="K31" s="23" t="inlineStr">
        <is>
          <t>Pendiente</t>
        </is>
      </c>
    </row>
    <row r="32">
      <c r="A32" s="21" t="inlineStr">
        <is>
          <t>E03</t>
        </is>
      </c>
      <c r="B32" s="21" t="inlineStr">
        <is>
          <t>Entrevistas</t>
        </is>
      </c>
      <c r="C32" s="21" t="inlineStr">
        <is>
          <t>Ronda 3: 8 entrevistas de pago y churn</t>
        </is>
      </c>
      <c r="D32" s="21" t="inlineStr">
        <is>
          <t>A usuarios reales del día 12–20 de trial: pagaron, no pagaron, desinstalaron. Por qué. Es la única forma de saber si S/14,90 y el bloqueo total aguantan.</t>
        </is>
      </c>
      <c r="E32" s="22" t="n">
        <v>11</v>
      </c>
      <c r="F32" s="22" t="n">
        <v>12</v>
      </c>
      <c r="G32" s="22" t="n">
        <v>10</v>
      </c>
      <c r="H32" s="21" t="inlineStr">
        <is>
          <t>A12</t>
        </is>
      </c>
      <c r="I32" s="21" t="inlineStr">
        <is>
          <t>Síntesis de 1 página</t>
        </is>
      </c>
      <c r="J32" s="21" t="inlineStr">
        <is>
          <t>Decisión sobre precio/paywall para v1.1</t>
        </is>
      </c>
      <c r="K32" s="23" t="inlineStr">
        <is>
          <t>Pendiente</t>
        </is>
      </c>
    </row>
    <row r="33">
      <c r="A33" s="21" t="inlineStr">
        <is>
          <t>T01</t>
        </is>
      </c>
      <c r="B33" s="21" t="inlineStr">
        <is>
          <t>Talleres</t>
        </is>
      </c>
      <c r="C33" s="21" t="inlineStr">
        <is>
          <t>Lista de 20 talleres y mecánicos de barrio (Lima)</t>
        </is>
      </c>
      <c r="D33" s="21" t="inlineStr">
        <is>
          <t>Cerca de donde viven tus entrevistados. Nombre, dueño, WhatsApp, marcas que atienden.</t>
        </is>
      </c>
      <c r="E33" s="22" t="n">
        <v>3</v>
      </c>
      <c r="F33" s="22" t="n">
        <v>3</v>
      </c>
      <c r="G33" s="22" t="n">
        <v>3</v>
      </c>
      <c r="H33" s="21" t="inlineStr"/>
      <c r="I33" s="21" t="inlineStr">
        <is>
          <t>Hoja Talleres llena</t>
        </is>
      </c>
      <c r="J33" s="21" t="inlineStr">
        <is>
          <t>20 filas</t>
        </is>
      </c>
      <c r="K33" s="23" t="inlineStr">
        <is>
          <t>Pendiente</t>
        </is>
      </c>
    </row>
    <row r="34">
      <c r="A34" s="21" t="inlineStr">
        <is>
          <t>T02</t>
        </is>
      </c>
      <c r="B34" s="21" t="inlineStr">
        <is>
          <t>Talleres</t>
        </is>
      </c>
      <c r="C34" s="21" t="inlineStr">
        <is>
          <t>Reuniones con talleres: 2 por semana</t>
        </is>
      </c>
      <c r="D34" s="21" t="inlineStr">
        <is>
          <t>Objetivo: validar intervalos y precios habituales de los 10 modelos, y que el taller acepte el plan como 'orden' del cliente. Guion en hoja Talleres.</t>
        </is>
      </c>
      <c r="E34" s="22" t="n">
        <v>4</v>
      </c>
      <c r="F34" s="22" t="n">
        <v>12</v>
      </c>
      <c r="G34" s="22" t="n">
        <v>36</v>
      </c>
      <c r="H34" s="21" t="inlineStr">
        <is>
          <t>T01</t>
        </is>
      </c>
      <c r="I34" s="21" t="inlineStr">
        <is>
          <t>18 reuniones</t>
        </is>
      </c>
      <c r="J34" s="21" t="inlineStr">
        <is>
          <t>≥10 talleres validaron precios de ≥1 servicio</t>
        </is>
      </c>
      <c r="K34" s="23" t="inlineStr">
        <is>
          <t>Pendiente</t>
        </is>
      </c>
    </row>
    <row r="35">
      <c r="A35" s="21" t="inlineStr">
        <is>
          <t>T03</t>
        </is>
      </c>
      <c r="B35" s="21" t="inlineStr">
        <is>
          <t>Talleres</t>
        </is>
      </c>
      <c r="C35" s="21" t="inlineStr">
        <is>
          <t>Tabla de precios habituales por servicio (Lima)</t>
        </is>
      </c>
      <c r="D35" s="21" t="inlineStr">
        <is>
          <t>Sale de T02. Alimenta el rango de precio en servicio/[id]. Marcar fuente y fecha.</t>
        </is>
      </c>
      <c r="E35" s="22" t="n">
        <v>6</v>
      </c>
      <c r="F35" s="22" t="n">
        <v>8</v>
      </c>
      <c r="G35" s="22" t="n">
        <v>6</v>
      </c>
      <c r="H35" s="21" t="inlineStr">
        <is>
          <t>T02</t>
        </is>
      </c>
      <c r="I35" s="21" t="inlineStr">
        <is>
          <t>Tabla en src/data</t>
        </is>
      </c>
      <c r="J35" s="21" t="inlineStr">
        <is>
          <t>Rango de precio en 10 servicios</t>
        </is>
      </c>
      <c r="K35" s="23" t="inlineStr">
        <is>
          <t>Pendiente</t>
        </is>
      </c>
    </row>
    <row r="36">
      <c r="A36" s="21" t="inlineStr">
        <is>
          <t>T04</t>
        </is>
      </c>
      <c r="B36" s="21" t="inlineStr">
        <is>
          <t>Talleres</t>
        </is>
      </c>
      <c r="C36" s="21" t="inlineStr">
        <is>
          <t>3 talleres 'amigos' que recomiendan Fixly al joven</t>
        </is>
      </c>
      <c r="D36" s="21" t="inlineStr">
        <is>
          <t>Sticker/QR en mostrador + plan impreso. Es canal de adquisición en el momento del dolor.</t>
        </is>
      </c>
      <c r="E36" s="22" t="n">
        <v>9</v>
      </c>
      <c r="F36" s="22" t="n">
        <v>11</v>
      </c>
      <c r="G36" s="22" t="n">
        <v>6</v>
      </c>
      <c r="H36" s="21" t="inlineStr">
        <is>
          <t>T02</t>
        </is>
      </c>
      <c r="I36" s="21" t="inlineStr">
        <is>
          <t>3 acuerdos verbales</t>
        </is>
      </c>
      <c r="J36" s="21" t="inlineStr">
        <is>
          <t>QR escaneado ≥ 10 veces</t>
        </is>
      </c>
      <c r="K36" s="23" t="inlineStr">
        <is>
          <t>Pendiente</t>
        </is>
      </c>
    </row>
    <row r="37">
      <c r="A37" s="21" t="inlineStr">
        <is>
          <t>C01</t>
        </is>
      </c>
      <c r="B37" s="21" t="inlineStr">
        <is>
          <t>Contenido</t>
        </is>
      </c>
      <c r="C37" s="21" t="inlineStr">
        <is>
          <t>Landing en tu VPS: fixly + una página por modelo precargado</t>
        </is>
      </c>
      <c r="D37" s="21" t="inlineStr">
        <is>
          <t>Estático. 'Mantenimiento &lt;modelo&gt;: qué toca a cada km'. Botón a tiendas. SEO barato que crece con cada manual.</t>
        </is>
      </c>
      <c r="E37" s="22" t="n">
        <v>5</v>
      </c>
      <c r="F37" s="22" t="n">
        <v>7</v>
      </c>
      <c r="G37" s="22" t="n">
        <v>12</v>
      </c>
      <c r="H37" s="21" t="inlineStr">
        <is>
          <t>P08</t>
        </is>
      </c>
      <c r="I37" s="21" t="inlineStr">
        <is>
          <t>11 páginas publicadas</t>
        </is>
      </c>
      <c r="J37" s="21" t="inlineStr">
        <is>
          <t>Indexadas en Google (Search Console)</t>
        </is>
      </c>
      <c r="K37" s="23" t="inlineStr">
        <is>
          <t>Pendiente</t>
        </is>
      </c>
    </row>
    <row r="38">
      <c r="A38" s="21" t="inlineStr">
        <is>
          <t>C02</t>
        </is>
      </c>
      <c r="B38" s="21" t="inlineStr">
        <is>
          <t>Contenido</t>
        </is>
      </c>
      <c r="C38" s="21" t="inlineStr">
        <is>
          <t>LinkedIn: 2 publicaciones por semana, construir en público</t>
        </is>
      </c>
      <c r="D38" s="21" t="inlineStr">
        <is>
          <t>Calendario en hoja Contenido. Aprendizajes, números reales, no anuncios.</t>
        </is>
      </c>
      <c r="E38" s="22" t="n">
        <v>1</v>
      </c>
      <c r="F38" s="22" t="n">
        <v>13</v>
      </c>
      <c r="G38" s="22" t="n">
        <v>26</v>
      </c>
      <c r="H38" s="21" t="inlineStr"/>
      <c r="I38" s="21" t="inlineStr">
        <is>
          <t>26 publicaciones</t>
        </is>
      </c>
      <c r="J38" s="21" t="inlineStr">
        <is>
          <t>Ver hoja Contenido</t>
        </is>
      </c>
      <c r="K38" s="23" t="inlineStr">
        <is>
          <t>Pendiente</t>
        </is>
      </c>
    </row>
    <row r="39">
      <c r="A39" s="21" t="inlineStr">
        <is>
          <t>C03</t>
        </is>
      </c>
      <c r="B39" s="21" t="inlineStr">
        <is>
          <t>Contenido</t>
        </is>
      </c>
      <c r="C39" s="21" t="inlineStr">
        <is>
          <t>TikTok + Instagram Reels: 3 videos por semana desde la semana 3</t>
        </is>
      </c>
      <c r="D39" s="21" t="inlineStr">
        <is>
          <t>Formato: 'Qué le toca a tu &lt;modelo&gt; a los X km'. 30–45 s, cámara al celular. Un modelo por video.</t>
        </is>
      </c>
      <c r="E39" s="22" t="n">
        <v>3</v>
      </c>
      <c r="F39" s="22" t="n">
        <v>13</v>
      </c>
      <c r="G39" s="22" t="n">
        <v>44</v>
      </c>
      <c r="H39" s="21" t="inlineStr">
        <is>
          <t>P03</t>
        </is>
      </c>
      <c r="I39" s="21" t="inlineStr">
        <is>
          <t>33 videos</t>
        </is>
      </c>
      <c r="J39" s="21" t="inlineStr">
        <is>
          <t>≥1 video con &gt;5.000 vistas</t>
        </is>
      </c>
      <c r="K39" s="23" t="inlineStr">
        <is>
          <t>Pendiente</t>
        </is>
      </c>
    </row>
    <row r="40">
      <c r="A40" s="21" t="inlineStr">
        <is>
          <t>C04</t>
        </is>
      </c>
      <c r="B40" s="21" t="inlineStr">
        <is>
          <t>Contenido</t>
        </is>
      </c>
      <c r="C40" s="21" t="inlineStr">
        <is>
          <t>Grupos de Facebook de dueños por modelo (Perú)</t>
        </is>
      </c>
      <c r="D40" s="21" t="inlineStr">
        <is>
          <t>Unirse a 10 grupos en la semana 2. Participar respondiendo dudas reales. Compartir captura del plan (no link) desde la semana 7.</t>
        </is>
      </c>
      <c r="E40" s="22" t="n">
        <v>2</v>
      </c>
      <c r="F40" s="22" t="n">
        <v>13</v>
      </c>
      <c r="G40" s="22" t="n">
        <v>13</v>
      </c>
      <c r="H40" s="21" t="inlineStr"/>
      <c r="I40" s="21" t="inlineStr">
        <is>
          <t>Presencia en 10 grupos</t>
        </is>
      </c>
      <c r="J40" s="21" t="inlineStr">
        <is>
          <t>≥20 instalaciones atribuidas</t>
        </is>
      </c>
      <c r="K40" s="23" t="inlineStr">
        <is>
          <t>Pendiente</t>
        </is>
      </c>
    </row>
    <row r="41">
      <c r="A41" s="21" t="inlineStr">
        <is>
          <t>C05</t>
        </is>
      </c>
      <c r="B41" s="21" t="inlineStr">
        <is>
          <t>Contenido</t>
        </is>
      </c>
      <c r="C41" s="21" t="inlineStr">
        <is>
          <t>Marketplace / vendedores de usados: 10 contactos</t>
        </is>
      </c>
      <c r="D41" s="21" t="inlineStr">
        <is>
          <t>Vendedores de Yaris/Rio/Accent en Facebook Marketplace. Ofrecer el plan del auto para el comprador.</t>
        </is>
      </c>
      <c r="E41" s="22" t="n">
        <v>9</v>
      </c>
      <c r="F41" s="22" t="n">
        <v>12</v>
      </c>
      <c r="G41" s="22" t="n">
        <v>8</v>
      </c>
      <c r="H41" s="21" t="inlineStr">
        <is>
          <t>P10</t>
        </is>
      </c>
      <c r="I41" s="21" t="inlineStr">
        <is>
          <t>10 contactos, 3 activos</t>
        </is>
      </c>
      <c r="J41" s="21" t="inlineStr">
        <is>
          <t>≥5 instalaciones atribuidas</t>
        </is>
      </c>
      <c r="K41" s="23" t="inlineStr">
        <is>
          <t>Pendiente</t>
        </is>
      </c>
    </row>
    <row r="42">
      <c r="A42" s="21" t="inlineStr">
        <is>
          <t>C06</t>
        </is>
      </c>
      <c r="B42" s="21" t="inlineStr">
        <is>
          <t>Contenido</t>
        </is>
      </c>
      <c r="C42" s="21" t="inlineStr">
        <is>
          <t>Nota de prensa + pitch a 5 medios peruanos de emprendimiento</t>
        </is>
      </c>
      <c r="D42" s="21" t="inlineStr">
        <is>
          <t>Gestión (Emprende), PQS, Ecosistema Startup, Sudaca Emprende, Trome Emprende. Historia: manuales de marcas chinas que nadie tiene.</t>
        </is>
      </c>
      <c r="E42" s="22" t="n">
        <v>8</v>
      </c>
      <c r="F42" s="22" t="n">
        <v>9</v>
      </c>
      <c r="G42" s="22" t="n">
        <v>6</v>
      </c>
      <c r="H42" s="21" t="inlineStr">
        <is>
          <t>A12</t>
        </is>
      </c>
      <c r="I42" s="21" t="inlineStr">
        <is>
          <t>Correo enviado a 5</t>
        </is>
      </c>
      <c r="J42" s="21" t="inlineStr">
        <is>
          <t>≥1 publicación</t>
        </is>
      </c>
      <c r="K42" s="23" t="inlineStr">
        <is>
          <t>Pendiente</t>
        </is>
      </c>
    </row>
    <row r="43">
      <c r="A43" s="21" t="inlineStr">
        <is>
          <t>X01</t>
        </is>
      </c>
      <c r="B43" s="21" t="inlineStr">
        <is>
          <t>Ecosistema</t>
        </is>
      </c>
      <c r="C43" s="21" t="inlineStr">
        <is>
          <t>Inscribirse a eventos de Peru Tech Week (12–18 oct)</t>
        </is>
      </c>
      <c r="D43" s="21" t="inlineStr">
        <is>
          <t>Elegir 3 eventos abiertos a fundadores early-stage. Meta: 15 conversaciones con TestFlight en la mano, 3 con dueños de taller o concesionario.</t>
        </is>
      </c>
      <c r="E43" s="22" t="n">
        <v>3</v>
      </c>
      <c r="F43" s="22" t="n">
        <v>3</v>
      </c>
      <c r="G43" s="22" t="n">
        <v>2</v>
      </c>
      <c r="H43" s="21" t="inlineStr"/>
      <c r="I43" s="21" t="inlineStr">
        <is>
          <t>3 registros</t>
        </is>
      </c>
      <c r="J43" s="21" t="inlineStr">
        <is>
          <t>Asistencia confirmada</t>
        </is>
      </c>
      <c r="K43" s="23" t="inlineStr">
        <is>
          <t>Pendiente</t>
        </is>
      </c>
    </row>
    <row r="44">
      <c r="A44" s="21" t="inlineStr">
        <is>
          <t>X02</t>
        </is>
      </c>
      <c r="B44" s="21" t="inlineStr">
        <is>
          <t>Ecosistema</t>
        </is>
      </c>
      <c r="C44" s="21" t="inlineStr">
        <is>
          <t>Asistir a Peru Tech Week</t>
        </is>
      </c>
      <c r="D44" s="21" t="inlineStr">
        <is>
          <t>Sin slides. Celular con la app + 1 frase: 'convierto el manual de tu auto en un plan'. Recoger correos.</t>
        </is>
      </c>
      <c r="E44" s="22" t="n">
        <v>6</v>
      </c>
      <c r="F44" s="22" t="n">
        <v>6</v>
      </c>
      <c r="G44" s="22" t="n">
        <v>18</v>
      </c>
      <c r="H44" s="21" t="inlineStr">
        <is>
          <t>X01,A07</t>
        </is>
      </c>
      <c r="I44" s="21" t="inlineStr">
        <is>
          <t>≥15 contactos, ≥5 testers nuevos</t>
        </is>
      </c>
      <c r="J44" s="21" t="inlineStr">
        <is>
          <t>Contactos en hoja Ecosistema</t>
        </is>
      </c>
      <c r="K44" s="23" t="inlineStr">
        <is>
          <t>Pendiente</t>
        </is>
      </c>
    </row>
    <row r="45">
      <c r="A45" s="21" t="inlineStr">
        <is>
          <t>X03</t>
        </is>
      </c>
      <c r="B45" s="21" t="inlineStr">
        <is>
          <t>Ecosistema</t>
        </is>
      </c>
      <c r="C45" s="21" t="inlineStr">
        <is>
          <t>Meetups mensuales: Startup Grind Lima / AWS Startup Connect / Emprende UP</t>
        </is>
      </c>
      <c r="D45" s="21" t="inlineStr">
        <is>
          <t>1 por mes. Presentar avance de 2 minutos si hay open mic.</t>
        </is>
      </c>
      <c r="E45" s="22" t="n">
        <v>4</v>
      </c>
      <c r="F45" s="22" t="n">
        <v>13</v>
      </c>
      <c r="G45" s="22" t="n">
        <v>12</v>
      </c>
      <c r="H45" s="21" t="inlineStr"/>
      <c r="I45" s="21" t="inlineStr">
        <is>
          <t>3 asistencias</t>
        </is>
      </c>
      <c r="J45" s="21" t="inlineStr">
        <is>
          <t>3 filas en Ecosistema</t>
        </is>
      </c>
      <c r="K45" s="23" t="inlineStr">
        <is>
          <t>Pendiente</t>
        </is>
      </c>
    </row>
    <row r="46">
      <c r="A46" s="21" t="inlineStr">
        <is>
          <t>X04</t>
        </is>
      </c>
      <c r="B46" s="21" t="inlineStr">
        <is>
          <t>Ecosistema</t>
        </is>
      </c>
      <c r="C46" s="21" t="inlineStr">
        <is>
          <t>Preparar postulación StartUp Perú 2027 (Emprendimientos Innovadores)</t>
        </is>
      </c>
      <c r="D46" s="21" t="inlineStr">
        <is>
          <t>Exige empresa constituida y equipo de 2–4. Decidir en la semana 12 si constituyes y buscas cofundador. No bloquea nada del trimestre.</t>
        </is>
      </c>
      <c r="E46" s="22" t="n">
        <v>12</v>
      </c>
      <c r="F46" s="22" t="n">
        <v>13</v>
      </c>
      <c r="G46" s="22" t="n">
        <v>6</v>
      </c>
      <c r="H46" s="21" t="inlineStr">
        <is>
          <t>E03</t>
        </is>
      </c>
      <c r="I46" s="21" t="inlineStr">
        <is>
          <t>Decisión escrita</t>
        </is>
      </c>
      <c r="J46" s="21" t="inlineStr">
        <is>
          <t>Sí/No con razones</t>
        </is>
      </c>
      <c r="K46" s="23" t="inlineStr">
        <is>
          <t>Pendiente</t>
        </is>
      </c>
    </row>
    <row r="47">
      <c r="A47" s="21" t="inlineStr">
        <is>
          <t>X05</t>
        </is>
      </c>
      <c r="B47" s="21" t="inlineStr">
        <is>
          <t>Ecosistema</t>
        </is>
      </c>
      <c r="C47" s="21" t="inlineStr">
        <is>
          <t>Pitch a 2 incubadoras (Emprende UP, UTEC Ventures) con datos reales</t>
        </is>
      </c>
      <c r="D47" s="21" t="inlineStr">
        <is>
          <t>Después de tener métricas de 4 semanas en tienda. Sin datos no hay reunión que valga.</t>
        </is>
      </c>
      <c r="E47" s="22" t="n">
        <v>12</v>
      </c>
      <c r="F47" s="22" t="n">
        <v>13</v>
      </c>
      <c r="G47" s="22" t="n">
        <v>6</v>
      </c>
      <c r="H47" s="21" t="inlineStr">
        <is>
          <t>A12</t>
        </is>
      </c>
      <c r="I47" s="21" t="inlineStr">
        <is>
          <t>2 reuniones</t>
        </is>
      </c>
      <c r="J47" s="21" t="inlineStr">
        <is>
          <t>Feedback escrito</t>
        </is>
      </c>
      <c r="K47" s="23" t="inlineStr">
        <is>
          <t>Pendiente</t>
        </is>
      </c>
    </row>
    <row r="48">
      <c r="A48" s="21" t="inlineStr">
        <is>
          <t>S01</t>
        </is>
      </c>
      <c r="B48" s="21" t="inlineStr">
        <is>
          <t>Soporte</t>
        </is>
      </c>
      <c r="C48" s="21" t="inlineStr">
        <is>
          <t>Soporte a usuarios y reseñas (diario, 30 min)</t>
        </is>
      </c>
      <c r="D48" s="21" t="inlineStr">
        <is>
          <t>Responder reseñas en ambas tiendas en &lt;24 h. Correo de soporte en la ficha. Registrar cada bug en P13.</t>
        </is>
      </c>
      <c r="E48" s="22" t="n">
        <v>8</v>
      </c>
      <c r="F48" s="22" t="n">
        <v>13</v>
      </c>
      <c r="G48" s="22" t="n">
        <v>18</v>
      </c>
      <c r="H48" s="21" t="inlineStr">
        <is>
          <t>A12</t>
        </is>
      </c>
      <c r="I48" s="21" t="inlineStr">
        <is>
          <t>Reseñas respondidas</t>
        </is>
      </c>
      <c r="J48" s="21" t="inlineStr">
        <is>
          <t>100% de reseñas con respuesta</t>
        </is>
      </c>
      <c r="K48" s="23" t="inlineStr">
        <is>
          <t>Pendiente</t>
        </is>
      </c>
    </row>
    <row r="49">
      <c r="A49" s="21" t="inlineStr">
        <is>
          <t>S02</t>
        </is>
      </c>
      <c r="B49" s="21" t="inlineStr">
        <is>
          <t>Soporte</t>
        </is>
      </c>
      <c r="C49" s="21" t="inlineStr">
        <is>
          <t>Comentarios y mensajes en TikTok/IG/FB (diario, 20 min)</t>
        </is>
      </c>
      <c r="D49" s="21" t="inlineStr">
        <is>
          <t>Cada comentario es una entrevista gratis. Responder con dato del manual, no con marketing.</t>
        </is>
      </c>
      <c r="E49" s="22" t="n">
        <v>4</v>
      </c>
      <c r="F49" s="22" t="n">
        <v>13</v>
      </c>
      <c r="G49" s="22" t="n">
        <v>20</v>
      </c>
      <c r="H49" s="21" t="inlineStr">
        <is>
          <t>C03</t>
        </is>
      </c>
      <c r="I49" s="21" t="inlineStr">
        <is>
          <t>Comentarios respondidos</t>
        </is>
      </c>
      <c r="J49" s="21" t="inlineStr">
        <is>
          <t>Tiempo de respuesta &lt;24 h</t>
        </is>
      </c>
      <c r="K49" s="23" t="inlineStr">
        <is>
          <t>Pendiente</t>
        </is>
      </c>
    </row>
    <row r="50">
      <c r="A50" s="21" t="inlineStr">
        <is>
          <t>M01</t>
        </is>
      </c>
      <c r="B50" s="21" t="inlineStr">
        <is>
          <t>Métricas</t>
        </is>
      </c>
      <c r="C50" s="21" t="inlineStr">
        <is>
          <t>Revisión semanal de métricas (viernes, 1 h)</t>
        </is>
      </c>
      <c r="D50" s="21" t="inlineStr">
        <is>
          <t>Llenar hoja Métricas. Una sola pregunta por semana (ver hoja). Ajustar el contenido de la semana siguiente.</t>
        </is>
      </c>
      <c r="E50" s="22" t="n">
        <v>1</v>
      </c>
      <c r="F50" s="22" t="n">
        <v>13</v>
      </c>
      <c r="G50" s="22" t="n">
        <v>13</v>
      </c>
      <c r="H50" s="21" t="inlineStr"/>
      <c r="I50" s="21" t="inlineStr">
        <is>
          <t>13 revisiones</t>
        </is>
      </c>
      <c r="J50" s="21" t="inlineStr">
        <is>
          <t>Columna 'Real' llena</t>
        </is>
      </c>
      <c r="K50" s="23" t="inlineStr">
        <is>
          <t>Pendiente</t>
        </is>
      </c>
    </row>
    <row r="51">
      <c r="A51" s="21" t="inlineStr">
        <is>
          <t>M02</t>
        </is>
      </c>
      <c r="B51" s="21" t="inlineStr">
        <is>
          <t>Métricas</t>
        </is>
      </c>
      <c r="C51" s="21" t="inlineStr">
        <is>
          <t>Revisión de mitad de camino (semana 7): ¿publico o corrijo?</t>
        </is>
      </c>
      <c r="D51" s="21" t="inlineStr">
        <is>
          <t>Si E02 mostró que &lt;50% completa placa→plan, se publica igual pero con precarga por modelo como puerta principal.</t>
        </is>
      </c>
      <c r="E51" s="22" t="n">
        <v>7</v>
      </c>
      <c r="F51" s="22" t="n">
        <v>7</v>
      </c>
      <c r="G51" s="22" t="n">
        <v>2</v>
      </c>
      <c r="H51" s="21" t="inlineStr">
        <is>
          <t>E02</t>
        </is>
      </c>
      <c r="I51" s="21" t="inlineStr">
        <is>
          <t>Decisión escrita</t>
        </is>
      </c>
      <c r="J51" s="21" t="inlineStr">
        <is>
          <t>Fecha de publicación confirmada o movida</t>
        </is>
      </c>
      <c r="K51" s="23" t="inlineStr">
        <is>
          <t>Pendiente</t>
        </is>
      </c>
    </row>
    <row r="52">
      <c r="A52" s="21" t="inlineStr">
        <is>
          <t>M03</t>
        </is>
      </c>
      <c r="B52" s="21" t="inlineStr">
        <is>
          <t>Métricas</t>
        </is>
      </c>
      <c r="C52" s="21" t="inlineStr">
        <is>
          <t>Cierre del trimestre: ¿seguir, pivotar o parar?</t>
        </is>
      </c>
      <c r="D52" s="21" t="inlineStr">
        <is>
          <t>Con 5 semanas en tienda: ≥10 pagos = seguir; 3–9 = corregir paywall/precio con E03; &lt;3 = el problema no es el producto, es el canal o la tesis.</t>
        </is>
      </c>
      <c r="E52" s="22" t="n">
        <v>13</v>
      </c>
      <c r="F52" s="22" t="n">
        <v>13</v>
      </c>
      <c r="G52" s="22" t="n">
        <v>4</v>
      </c>
      <c r="H52" s="21" t="inlineStr">
        <is>
          <t>E03</t>
        </is>
      </c>
      <c r="I52" s="21" t="inlineStr">
        <is>
          <t>Documento de decisión</t>
        </is>
      </c>
      <c r="J52" s="21" t="inlineStr">
        <is>
          <t>Decisión tomada con número</t>
        </is>
      </c>
      <c r="K52" s="23" t="inlineStr">
        <is>
          <t>Pendiente</t>
        </is>
      </c>
    </row>
    <row r="54">
      <c r="F54" s="3" t="inlineStr">
        <is>
          <t>Total horas</t>
        </is>
      </c>
      <c r="G54" s="24">
        <f>SUM(G5:G52)</f>
        <v/>
      </c>
    </row>
    <row r="55">
      <c r="F55" s="3" t="inlineStr">
        <is>
          <t>Horas/semana promedio</t>
        </is>
      </c>
      <c r="G55" s="25">
        <f>G54/13</f>
        <v/>
      </c>
    </row>
    <row r="56">
      <c r="F56" s="3" t="inlineStr">
        <is>
          <t>Tareas hechas</t>
        </is>
      </c>
      <c r="G56" s="3">
        <f>COUNTIF(K5:K52,"Hecho")&amp;" / "&amp;COUNTA(A5:A52)</f>
        <v/>
      </c>
    </row>
  </sheetData>
  <autoFilter ref="A4:K52"/>
  <pageMargins left="0.75" right="0.75" top="1" bottom="1" header="0.5" footer="0.5"/>
  <pageSetup orientation="landscape" fitToWidth="1"/>
</worksheet>
</file>

<file path=xl/worksheets/sheet4.xml><?xml version="1.0" encoding="utf-8"?>
<worksheet xmlns="http://schemas.openxmlformats.org/spreadsheetml/2006/main">
  <sheetPr>
    <outlinePr summaryBelow="1" summaryRight="1"/>
    <pageSetUpPr fitToPage="1"/>
  </sheetPr>
  <dimension ref="A1:H73"/>
  <sheetViews>
    <sheetView workbookViewId="0">
      <pane ySplit="4" topLeftCell="A5" activePane="bottomLeft" state="frozen"/>
      <selection pane="bottomLeft" activeCell="A1" sqref="A1"/>
    </sheetView>
  </sheetViews>
  <sheetFormatPr baseColWidth="8" defaultRowHeight="15"/>
  <cols>
    <col width="8" customWidth="1" min="1" max="1"/>
    <col width="10" customWidth="1" min="2" max="2"/>
    <col width="18" customWidth="1" min="3" max="3"/>
    <col width="62" customWidth="1" min="4" max="4"/>
    <col width="30" customWidth="1" min="5" max="5"/>
    <col width="26" customWidth="1" min="6" max="6"/>
    <col width="22" customWidth="1" min="7" max="7"/>
    <col width="12" customWidth="1" min="8" max="8"/>
  </cols>
  <sheetData>
    <row r="1">
      <c r="A1" s="1" t="inlineStr">
        <is>
          <t>Calendario de contenido</t>
        </is>
      </c>
    </row>
    <row r="2">
      <c r="A2" s="2" t="inlineStr">
        <is>
          <t>Construir en público. Cada pieza responde una pregunta que el joven ya se hace; el CTA es siempre 'escribe tu placa'. Edita Estado.</t>
        </is>
      </c>
    </row>
    <row r="4" ht="30" customHeight="1">
      <c r="A4" s="10" t="inlineStr">
        <is>
          <t>Semana</t>
        </is>
      </c>
      <c r="B4" s="10" t="inlineStr">
        <is>
          <t>Fecha</t>
        </is>
      </c>
      <c r="C4" s="10" t="inlineStr">
        <is>
          <t>Canal</t>
        </is>
      </c>
      <c r="D4" s="10" t="inlineStr">
        <is>
          <t>Tema / gancho</t>
        </is>
      </c>
      <c r="E4" s="10" t="inlineStr">
        <is>
          <t>Formato</t>
        </is>
      </c>
      <c r="F4" s="10" t="inlineStr">
        <is>
          <t>CTA</t>
        </is>
      </c>
      <c r="G4" s="10" t="inlineStr">
        <is>
          <t>Métrica</t>
        </is>
      </c>
      <c r="H4" s="10" t="inlineStr">
        <is>
          <t>Estado</t>
        </is>
      </c>
    </row>
    <row r="5">
      <c r="A5" s="26" t="n">
        <v>1</v>
      </c>
      <c r="B5" s="27" t="n">
        <v>46273</v>
      </c>
      <c r="C5" s="21" t="inlineStr">
        <is>
          <t>LinkedIn</t>
        </is>
      </c>
      <c r="D5" s="21" t="inlineStr">
        <is>
          <t>Por qué cerré 4 pantallas que ya estaban construidas (mapa, chatbot, proforma, reportes)</t>
        </is>
      </c>
      <c r="E5" s="21" t="inlineStr">
        <is>
          <t>Texto + captura del antes/después</t>
        </is>
      </c>
      <c r="F5" s="21" t="inlineStr">
        <is>
          <t>Escribe tu placa (link a tienda desde S8)</t>
        </is>
      </c>
      <c r="G5" s="21" t="inlineStr">
        <is>
          <t>Impresiones / comentarios</t>
        </is>
      </c>
      <c r="H5" s="28" t="inlineStr">
        <is>
          <t>Pendiente</t>
        </is>
      </c>
    </row>
    <row r="6">
      <c r="A6" s="26" t="n">
        <v>1</v>
      </c>
      <c r="B6" s="27" t="n">
        <v>46275</v>
      </c>
      <c r="C6" s="21" t="inlineStr">
        <is>
          <t>LinkedIn</t>
        </is>
      </c>
      <c r="D6" s="21" t="inlineStr">
        <is>
          <t>El activo que nadie puede comprar: manuales de Changan, Chery y Jetour en Perú</t>
        </is>
      </c>
      <c r="E6" s="21" t="inlineStr">
        <is>
          <t>Texto largo</t>
        </is>
      </c>
      <c r="F6" s="21" t="inlineStr">
        <is>
          <t>Escribe tu placa (link a tienda desde S8)</t>
        </is>
      </c>
      <c r="G6" s="21" t="inlineStr">
        <is>
          <t>Impresiones / comentarios</t>
        </is>
      </c>
      <c r="H6" s="28" t="inlineStr">
        <is>
          <t>Pendiente</t>
        </is>
      </c>
    </row>
    <row r="7">
      <c r="A7" s="26" t="n">
        <v>2</v>
      </c>
      <c r="B7" s="27" t="n">
        <v>46280</v>
      </c>
      <c r="C7" s="21" t="inlineStr">
        <is>
          <t>LinkedIn</t>
        </is>
      </c>
      <c r="D7" s="21" t="inlineStr">
        <is>
          <t>10 entrevistas: ¿cuántos jóvenes tienen el manual de su primer auto en PDF? (número real)</t>
        </is>
      </c>
      <c r="E7" s="21" t="inlineStr">
        <is>
          <t>Texto + gráfico simple</t>
        </is>
      </c>
      <c r="F7" s="21" t="inlineStr">
        <is>
          <t>Escribe tu placa (link a tienda desde S8)</t>
        </is>
      </c>
      <c r="G7" s="21" t="inlineStr">
        <is>
          <t>Impresiones / comentarios</t>
        </is>
      </c>
      <c r="H7" s="28" t="inlineStr">
        <is>
          <t>Pendiente</t>
        </is>
      </c>
    </row>
    <row r="8">
      <c r="A8" s="26" t="n">
        <v>2</v>
      </c>
      <c r="B8" s="27" t="n">
        <v>46282</v>
      </c>
      <c r="C8" s="21" t="inlineStr">
        <is>
          <t>LinkedIn</t>
        </is>
      </c>
      <c r="D8" s="21" t="inlineStr">
        <is>
          <t>Cuánto cuesta consultar una placa por API: S/0,011. Por qué el costo no es el problema</t>
        </is>
      </c>
      <c r="E8" s="21" t="inlineStr">
        <is>
          <t>Texto</t>
        </is>
      </c>
      <c r="F8" s="21" t="inlineStr">
        <is>
          <t>Escribe tu placa (link a tienda desde S8)</t>
        </is>
      </c>
      <c r="G8" s="21" t="inlineStr">
        <is>
          <t>Impresiones / comentarios</t>
        </is>
      </c>
      <c r="H8" s="28" t="inlineStr">
        <is>
          <t>Pendiente</t>
        </is>
      </c>
    </row>
    <row r="9">
      <c r="A9" s="26" t="n">
        <v>3</v>
      </c>
      <c r="B9" s="27" t="n">
        <v>46287</v>
      </c>
      <c r="C9" s="21" t="inlineStr">
        <is>
          <t>LinkedIn</t>
        </is>
      </c>
      <c r="D9" s="21" t="inlineStr">
        <is>
          <t>Extraer intervalos de un manual de 300 páginas con un LLM: dónde se equivoca</t>
        </is>
      </c>
      <c r="E9" s="21" t="inlineStr">
        <is>
          <t>Texto + captura de error real</t>
        </is>
      </c>
      <c r="F9" s="21" t="inlineStr">
        <is>
          <t>Escribe tu placa (link a tienda desde S8)</t>
        </is>
      </c>
      <c r="G9" s="21" t="inlineStr">
        <is>
          <t>Impresiones / comentarios</t>
        </is>
      </c>
      <c r="H9" s="28" t="inlineStr">
        <is>
          <t>Pendiente</t>
        </is>
      </c>
    </row>
    <row r="10">
      <c r="A10" s="26" t="n">
        <v>3</v>
      </c>
      <c r="B10" s="27" t="n">
        <v>46289</v>
      </c>
      <c r="C10" s="21" t="inlineStr">
        <is>
          <t>LinkedIn</t>
        </is>
      </c>
      <c r="D10" s="21" t="inlineStr">
        <is>
          <t>Por qué reviso cada manual a mano antes de publicarlo</t>
        </is>
      </c>
      <c r="E10" s="21" t="inlineStr">
        <is>
          <t>Texto corto</t>
        </is>
      </c>
      <c r="F10" s="21" t="inlineStr">
        <is>
          <t>Escribe tu placa (link a tienda desde S8)</t>
        </is>
      </c>
      <c r="G10" s="21" t="inlineStr">
        <is>
          <t>Impresiones / comentarios</t>
        </is>
      </c>
      <c r="H10" s="28" t="inlineStr">
        <is>
          <t>Pendiente</t>
        </is>
      </c>
    </row>
    <row r="11">
      <c r="A11" s="26" t="n">
        <v>4</v>
      </c>
      <c r="B11" s="27" t="n">
        <v>46294</v>
      </c>
      <c r="C11" s="21" t="inlineStr">
        <is>
          <t>LinkedIn</t>
        </is>
      </c>
      <c r="D11" s="21" t="inlineStr">
        <is>
          <t>Primer TestFlight: qué se rompió en un Android de S/400</t>
        </is>
      </c>
      <c r="E11" s="21" t="inlineStr">
        <is>
          <t>Texto + foto</t>
        </is>
      </c>
      <c r="F11" s="21" t="inlineStr">
        <is>
          <t>Escribe tu placa (link a tienda desde S8)</t>
        </is>
      </c>
      <c r="G11" s="21" t="inlineStr">
        <is>
          <t>Impresiones / comentarios</t>
        </is>
      </c>
      <c r="H11" s="28" t="inlineStr">
        <is>
          <t>Pendiente</t>
        </is>
      </c>
    </row>
    <row r="12">
      <c r="A12" s="26" t="n">
        <v>4</v>
      </c>
      <c r="B12" s="27" t="n">
        <v>46296</v>
      </c>
      <c r="C12" s="21" t="inlineStr">
        <is>
          <t>LinkedIn</t>
        </is>
      </c>
      <c r="D12" s="21" t="inlineStr">
        <is>
          <t>Trial de 14 días y bloqueo total: la apuesta que más miedo me da</t>
        </is>
      </c>
      <c r="E12" s="21" t="inlineStr">
        <is>
          <t>Texto</t>
        </is>
      </c>
      <c r="F12" s="21" t="inlineStr">
        <is>
          <t>Escribe tu placa (link a tienda desde S8)</t>
        </is>
      </c>
      <c r="G12" s="21" t="inlineStr">
        <is>
          <t>Impresiones / comentarios</t>
        </is>
      </c>
      <c r="H12" s="28" t="inlineStr">
        <is>
          <t>Pendiente</t>
        </is>
      </c>
    </row>
    <row r="13">
      <c r="A13" s="26" t="n">
        <v>5</v>
      </c>
      <c r="B13" s="27" t="n">
        <v>46301</v>
      </c>
      <c r="C13" s="21" t="inlineStr">
        <is>
          <t>LinkedIn</t>
        </is>
      </c>
      <c r="D13" s="21" t="inlineStr">
        <is>
          <t>La regla de Google Play que nadie te cuenta: 12 testers, 14 días, uso real</t>
        </is>
      </c>
      <c r="E13" s="21" t="inlineStr">
        <is>
          <t>Texto (guía)</t>
        </is>
      </c>
      <c r="F13" s="21" t="inlineStr">
        <is>
          <t>Escribe tu placa (link a tienda desde S8)</t>
        </is>
      </c>
      <c r="G13" s="21" t="inlineStr">
        <is>
          <t>Impresiones / comentarios</t>
        </is>
      </c>
      <c r="H13" s="28" t="inlineStr">
        <is>
          <t>Pendiente</t>
        </is>
      </c>
    </row>
    <row r="14">
      <c r="A14" s="26" t="n">
        <v>5</v>
      </c>
      <c r="B14" s="27" t="n">
        <v>46303</v>
      </c>
      <c r="C14" s="21" t="inlineStr">
        <is>
          <t>LinkedIn</t>
        </is>
      </c>
      <c r="D14" s="21" t="inlineStr">
        <is>
          <t>Precargué 10 modelos: cuáles y por qué esos</t>
        </is>
      </c>
      <c r="E14" s="21" t="inlineStr">
        <is>
          <t>Carrusel</t>
        </is>
      </c>
      <c r="F14" s="21" t="inlineStr">
        <is>
          <t>Escribe tu placa (link a tienda desde S8)</t>
        </is>
      </c>
      <c r="G14" s="21" t="inlineStr">
        <is>
          <t>Impresiones / comentarios</t>
        </is>
      </c>
      <c r="H14" s="28" t="inlineStr">
        <is>
          <t>Pendiente</t>
        </is>
      </c>
    </row>
    <row r="15">
      <c r="A15" s="26" t="n">
        <v>6</v>
      </c>
      <c r="B15" s="27" t="n">
        <v>46308</v>
      </c>
      <c r="C15" s="21" t="inlineStr">
        <is>
          <t>LinkedIn</t>
        </is>
      </c>
      <c r="D15" s="21" t="inlineStr">
        <is>
          <t>Peru Tech Week: voy sin slides, con la app en el celular</t>
        </is>
      </c>
      <c r="E15" s="21" t="inlineStr">
        <is>
          <t>Texto corto + foto</t>
        </is>
      </c>
      <c r="F15" s="21" t="inlineStr">
        <is>
          <t>Escribe tu placa (link a tienda desde S8)</t>
        </is>
      </c>
      <c r="G15" s="21" t="inlineStr">
        <is>
          <t>Impresiones / comentarios</t>
        </is>
      </c>
      <c r="H15" s="28" t="inlineStr">
        <is>
          <t>Pendiente</t>
        </is>
      </c>
    </row>
    <row r="16">
      <c r="A16" s="26" t="n">
        <v>6</v>
      </c>
      <c r="B16" s="27" t="n">
        <v>46310</v>
      </c>
      <c r="C16" s="21" t="inlineStr">
        <is>
          <t>LinkedIn</t>
        </is>
      </c>
      <c r="D16" s="21" t="inlineStr">
        <is>
          <t>Lo que 15 desconocidos me dijeron de Fixly en 3 días</t>
        </is>
      </c>
      <c r="E16" s="21" t="inlineStr">
        <is>
          <t>Texto</t>
        </is>
      </c>
      <c r="F16" s="21" t="inlineStr">
        <is>
          <t>Escribe tu placa (link a tienda desde S8)</t>
        </is>
      </c>
      <c r="G16" s="21" t="inlineStr">
        <is>
          <t>Impresiones / comentarios</t>
        </is>
      </c>
      <c r="H16" s="28" t="inlineStr">
        <is>
          <t>Pendiente</t>
        </is>
      </c>
    </row>
    <row r="17">
      <c r="A17" s="26" t="n">
        <v>7</v>
      </c>
      <c r="B17" s="27" t="n">
        <v>46315</v>
      </c>
      <c r="C17" s="21" t="inlineStr">
        <is>
          <t>LinkedIn</t>
        </is>
      </c>
      <c r="D17" s="21" t="inlineStr">
        <is>
          <t>Última semana antes de enviar: QA en un Android de S/400 y la ficha de tienda</t>
        </is>
      </c>
      <c r="E17" s="21" t="inlineStr">
        <is>
          <t>Carrusel de capturas</t>
        </is>
      </c>
      <c r="F17" s="21" t="inlineStr">
        <is>
          <t>Escribe tu placa (link a tienda desde S8)</t>
        </is>
      </c>
      <c r="G17" s="21" t="inlineStr">
        <is>
          <t>Impresiones / comentarios</t>
        </is>
      </c>
      <c r="H17" s="28" t="inlineStr">
        <is>
          <t>Pendiente</t>
        </is>
      </c>
    </row>
    <row r="18">
      <c r="A18" s="26" t="n">
        <v>7</v>
      </c>
      <c r="B18" s="27" t="n">
        <v>46317</v>
      </c>
      <c r="C18" s="21" t="inlineStr">
        <is>
          <t>LinkedIn</t>
        </is>
      </c>
      <c r="D18" s="21" t="inlineStr">
        <is>
          <t>Reuniones con 6 talleres: lo que cobran vs lo que dice el manual</t>
        </is>
      </c>
      <c r="E18" s="21" t="inlineStr">
        <is>
          <t>Texto + tabla</t>
        </is>
      </c>
      <c r="F18" s="21" t="inlineStr">
        <is>
          <t>Escribe tu placa (link a tienda desde S8)</t>
        </is>
      </c>
      <c r="G18" s="21" t="inlineStr">
        <is>
          <t>Impresiones / comentarios</t>
        </is>
      </c>
      <c r="H18" s="28" t="inlineStr">
        <is>
          <t>Pendiente</t>
        </is>
      </c>
    </row>
    <row r="19">
      <c r="A19" s="26" t="n">
        <v>8</v>
      </c>
      <c r="B19" s="27" t="n">
        <v>46322</v>
      </c>
      <c r="C19" s="21" t="inlineStr">
        <is>
          <t>LinkedIn</t>
        </is>
      </c>
      <c r="D19" s="21" t="inlineStr">
        <is>
          <t>Enviado a App Store un lunes; publicado el viernes. Un solo pedido: si tienes tu primer auto, escribe tu placa</t>
        </is>
      </c>
      <c r="E19" s="21" t="inlineStr">
        <is>
          <t>Video 40 s + link</t>
        </is>
      </c>
      <c r="F19" s="21" t="inlineStr">
        <is>
          <t>Escribe tu placa (link a tienda desde S8)</t>
        </is>
      </c>
      <c r="G19" s="21" t="inlineStr">
        <is>
          <t>Impresiones / comentarios</t>
        </is>
      </c>
      <c r="H19" s="28" t="inlineStr">
        <is>
          <t>Pendiente</t>
        </is>
      </c>
    </row>
    <row r="20">
      <c r="A20" s="26" t="n">
        <v>8</v>
      </c>
      <c r="B20" s="27" t="n">
        <v>46324</v>
      </c>
      <c r="C20" s="21" t="inlineStr">
        <is>
          <t>LinkedIn</t>
        </is>
      </c>
      <c r="D20" s="21" t="inlineStr">
        <is>
          <t>Día 3 en tienda: instalaciones, placas, manuales subidos (números reales)</t>
        </is>
      </c>
      <c r="E20" s="21" t="inlineStr">
        <is>
          <t>Texto</t>
        </is>
      </c>
      <c r="F20" s="21" t="inlineStr">
        <is>
          <t>Escribe tu placa (link a tienda desde S8)</t>
        </is>
      </c>
      <c r="G20" s="21" t="inlineStr">
        <is>
          <t>Impresiones / comentarios</t>
        </is>
      </c>
      <c r="H20" s="28" t="inlineStr">
        <is>
          <t>Pendiente</t>
        </is>
      </c>
    </row>
    <row r="21">
      <c r="A21" s="26" t="n">
        <v>9</v>
      </c>
      <c r="B21" s="27" t="n">
        <v>46329</v>
      </c>
      <c r="C21" s="21" t="inlineStr">
        <is>
          <t>LinkedIn</t>
        </is>
      </c>
      <c r="D21" s="21" t="inlineStr">
        <is>
          <t>Primer usuario que pagó: qué auto, qué km, qué le tocaba</t>
        </is>
      </c>
      <c r="E21" s="21" t="inlineStr">
        <is>
          <t>Texto</t>
        </is>
      </c>
      <c r="F21" s="21" t="inlineStr">
        <is>
          <t>Escribe tu placa (link a tienda desde S8)</t>
        </is>
      </c>
      <c r="G21" s="21" t="inlineStr">
        <is>
          <t>Impresiones / comentarios</t>
        </is>
      </c>
      <c r="H21" s="28" t="inlineStr">
        <is>
          <t>Pendiente</t>
        </is>
      </c>
    </row>
    <row r="22">
      <c r="A22" s="26" t="n">
        <v>9</v>
      </c>
      <c r="B22" s="27" t="n">
        <v>46331</v>
      </c>
      <c r="C22" s="21" t="inlineStr">
        <is>
          <t>LinkedIn</t>
        </is>
      </c>
      <c r="D22" s="21" t="inlineStr">
        <is>
          <t>Los 3 servicios que más se cobran de más en Lima (datos de talleres)</t>
        </is>
      </c>
      <c r="E22" s="21" t="inlineStr">
        <is>
          <t>Carrusel</t>
        </is>
      </c>
      <c r="F22" s="21" t="inlineStr">
        <is>
          <t>Escribe tu placa (link a tienda desde S8)</t>
        </is>
      </c>
      <c r="G22" s="21" t="inlineStr">
        <is>
          <t>Impresiones / comentarios</t>
        </is>
      </c>
      <c r="H22" s="28" t="inlineStr">
        <is>
          <t>Pendiente</t>
        </is>
      </c>
    </row>
    <row r="23">
      <c r="A23" s="26" t="n">
        <v>10</v>
      </c>
      <c r="B23" s="27" t="n">
        <v>46336</v>
      </c>
      <c r="C23" s="21" t="inlineStr">
        <is>
          <t>LinkedIn</t>
        </is>
      </c>
      <c r="D23" s="21" t="inlineStr">
        <is>
          <t>Semana 2 en tienda: embudo completo con tasas</t>
        </is>
      </c>
      <c r="E23" s="21" t="inlineStr">
        <is>
          <t>Gráfico + texto</t>
        </is>
      </c>
      <c r="F23" s="21" t="inlineStr">
        <is>
          <t>Escribe tu placa (link a tienda desde S8)</t>
        </is>
      </c>
      <c r="G23" s="21" t="inlineStr">
        <is>
          <t>Impresiones / comentarios</t>
        </is>
      </c>
      <c r="H23" s="28" t="inlineStr">
        <is>
          <t>Pendiente</t>
        </is>
      </c>
    </row>
    <row r="24">
      <c r="A24" s="26" t="n">
        <v>10</v>
      </c>
      <c r="B24" s="27" t="n">
        <v>46338</v>
      </c>
      <c r="C24" s="21" t="inlineStr">
        <is>
          <t>LinkedIn</t>
        </is>
      </c>
      <c r="D24" s="21" t="inlineStr">
        <is>
          <t>Por qué no hago publicidad pagada (S/1 de valor vs S/35 de CPI)</t>
        </is>
      </c>
      <c r="E24" s="21" t="inlineStr">
        <is>
          <t>Texto</t>
        </is>
      </c>
      <c r="F24" s="21" t="inlineStr">
        <is>
          <t>Escribe tu placa (link a tienda desde S8)</t>
        </is>
      </c>
      <c r="G24" s="21" t="inlineStr">
        <is>
          <t>Impresiones / comentarios</t>
        </is>
      </c>
      <c r="H24" s="28" t="inlineStr">
        <is>
          <t>Pendiente</t>
        </is>
      </c>
    </row>
    <row r="25">
      <c r="A25" s="26" t="n">
        <v>11</v>
      </c>
      <c r="B25" s="27" t="n">
        <v>46343</v>
      </c>
      <c r="C25" s="21" t="inlineStr">
        <is>
          <t>LinkedIn</t>
        </is>
      </c>
      <c r="D25" s="21" t="inlineStr">
        <is>
          <t>Entrevistas de churn: por qué NO pagaron</t>
        </is>
      </c>
      <c r="E25" s="21" t="inlineStr">
        <is>
          <t>Texto honesto</t>
        </is>
      </c>
      <c r="F25" s="21" t="inlineStr">
        <is>
          <t>Escribe tu placa (link a tienda desde S8)</t>
        </is>
      </c>
      <c r="G25" s="21" t="inlineStr">
        <is>
          <t>Impresiones / comentarios</t>
        </is>
      </c>
      <c r="H25" s="28" t="inlineStr">
        <is>
          <t>Pendiente</t>
        </is>
      </c>
    </row>
    <row r="26">
      <c r="A26" s="26" t="n">
        <v>11</v>
      </c>
      <c r="B26" s="27" t="n">
        <v>46345</v>
      </c>
      <c r="C26" s="21" t="inlineStr">
        <is>
          <t>LinkedIn</t>
        </is>
      </c>
      <c r="D26" s="21" t="inlineStr">
        <is>
          <t>Un taller puso el QR de Fixly en el mostrador</t>
        </is>
      </c>
      <c r="E26" s="21" t="inlineStr">
        <is>
          <t>Foto + texto</t>
        </is>
      </c>
      <c r="F26" s="21" t="inlineStr">
        <is>
          <t>Escribe tu placa (link a tienda desde S8)</t>
        </is>
      </c>
      <c r="G26" s="21" t="inlineStr">
        <is>
          <t>Impresiones / comentarios</t>
        </is>
      </c>
      <c r="H26" s="28" t="inlineStr">
        <is>
          <t>Pendiente</t>
        </is>
      </c>
    </row>
    <row r="27">
      <c r="A27" s="26" t="n">
        <v>12</v>
      </c>
      <c r="B27" s="27" t="n">
        <v>46350</v>
      </c>
      <c r="C27" s="21" t="inlineStr">
        <is>
          <t>LinkedIn</t>
        </is>
      </c>
      <c r="D27" s="21" t="inlineStr">
        <is>
          <t>Voy a constituir empresa / no voy a constituir: la decisión y el porqué</t>
        </is>
      </c>
      <c r="E27" s="21" t="inlineStr">
        <is>
          <t>Texto</t>
        </is>
      </c>
      <c r="F27" s="21" t="inlineStr">
        <is>
          <t>Escribe tu placa (link a tienda desde S8)</t>
        </is>
      </c>
      <c r="G27" s="21" t="inlineStr">
        <is>
          <t>Impresiones / comentarios</t>
        </is>
      </c>
      <c r="H27" s="28" t="inlineStr">
        <is>
          <t>Pendiente</t>
        </is>
      </c>
    </row>
    <row r="28">
      <c r="A28" s="26" t="n">
        <v>12</v>
      </c>
      <c r="B28" s="27" t="n">
        <v>46352</v>
      </c>
      <c r="C28" s="21" t="inlineStr">
        <is>
          <t>LinkedIn</t>
        </is>
      </c>
      <c r="D28" s="21" t="inlineStr">
        <is>
          <t>Qué cambia en v1.1 según lo que dijeron los que no pagaron</t>
        </is>
      </c>
      <c r="E28" s="21" t="inlineStr">
        <is>
          <t>Texto</t>
        </is>
      </c>
      <c r="F28" s="21" t="inlineStr">
        <is>
          <t>Escribe tu placa (link a tienda desde S8)</t>
        </is>
      </c>
      <c r="G28" s="21" t="inlineStr">
        <is>
          <t>Impresiones / comentarios</t>
        </is>
      </c>
      <c r="H28" s="28" t="inlineStr">
        <is>
          <t>Pendiente</t>
        </is>
      </c>
    </row>
    <row r="29">
      <c r="A29" s="26" t="n">
        <v>13</v>
      </c>
      <c r="B29" s="27" t="n">
        <v>46357</v>
      </c>
      <c r="C29" s="21" t="inlineStr">
        <is>
          <t>LinkedIn</t>
        </is>
      </c>
      <c r="D29" s="21" t="inlineStr">
        <is>
          <t>Balance de 13 semanas: número final, decisión, siguiente trimestre</t>
        </is>
      </c>
      <c r="E29" s="21" t="inlineStr">
        <is>
          <t>Texto largo</t>
        </is>
      </c>
      <c r="F29" s="21" t="inlineStr">
        <is>
          <t>Escribe tu placa (link a tienda desde S8)</t>
        </is>
      </c>
      <c r="G29" s="21" t="inlineStr">
        <is>
          <t>Impresiones / comentarios</t>
        </is>
      </c>
      <c r="H29" s="28" t="inlineStr">
        <is>
          <t>Pendiente</t>
        </is>
      </c>
    </row>
    <row r="30">
      <c r="A30" s="26" t="n">
        <v>13</v>
      </c>
      <c r="B30" s="27" t="n">
        <v>46359</v>
      </c>
      <c r="C30" s="21" t="inlineStr">
        <is>
          <t>LinkedIn</t>
        </is>
      </c>
      <c r="D30" s="21" t="inlineStr">
        <is>
          <t>Lo que le diría a alguien que quiere lanzar una app de suscripción en Perú</t>
        </is>
      </c>
      <c r="E30" s="21" t="inlineStr">
        <is>
          <t>Texto</t>
        </is>
      </c>
      <c r="F30" s="21" t="inlineStr">
        <is>
          <t>Escribe tu placa (link a tienda desde S8)</t>
        </is>
      </c>
      <c r="G30" s="21" t="inlineStr">
        <is>
          <t>Impresiones / comentarios</t>
        </is>
      </c>
      <c r="H30" s="28" t="inlineStr">
        <is>
          <t>Pendiente</t>
        </is>
      </c>
    </row>
    <row r="31">
      <c r="A31" s="26" t="n">
        <v>3</v>
      </c>
      <c r="B31" s="27" t="n">
        <v>46288</v>
      </c>
      <c r="C31" s="21" t="inlineStr">
        <is>
          <t>TikTok + IG Reels</t>
        </is>
      </c>
      <c r="D31" s="21" t="inlineStr">
        <is>
          <t>Qué le toca a tu Toyota Yaris a los 80.000 km (y cuánto debería costar)</t>
        </is>
      </c>
      <c r="E31" s="21" t="inlineStr">
        <is>
          <t>Video vertical 30–45 s, cámara al celular con la app</t>
        </is>
      </c>
      <c r="F31" s="21" t="inlineStr">
        <is>
          <t>Escribe tu placa / link en bio</t>
        </is>
      </c>
      <c r="G31" s="21" t="inlineStr">
        <is>
          <t>Vistas, guardados, instalaciones</t>
        </is>
      </c>
      <c r="H31" s="28" t="inlineStr">
        <is>
          <t>Pendiente</t>
        </is>
      </c>
    </row>
    <row r="32">
      <c r="A32" s="26" t="n">
        <v>3</v>
      </c>
      <c r="B32" s="27" t="n">
        <v>46290</v>
      </c>
      <c r="C32" s="21" t="inlineStr">
        <is>
          <t>TikTok + IG Reels</t>
        </is>
      </c>
      <c r="D32" s="21" t="inlineStr">
        <is>
          <t>El manual de tu auto dice 5.000 km si manejas en Lima. Te dijeron 10.000</t>
        </is>
      </c>
      <c r="E32" s="21" t="inlineStr">
        <is>
          <t>Video vertical 30–45 s, cámara al celular con la app</t>
        </is>
      </c>
      <c r="F32" s="21" t="inlineStr">
        <is>
          <t>Escribe tu placa / link en bio</t>
        </is>
      </c>
      <c r="G32" s="21" t="inlineStr">
        <is>
          <t>Vistas, guardados, instalaciones</t>
        </is>
      </c>
      <c r="H32" s="28" t="inlineStr">
        <is>
          <t>Pendiente</t>
        </is>
      </c>
    </row>
    <row r="33">
      <c r="A33" s="26" t="n">
        <v>3</v>
      </c>
      <c r="B33" s="27" t="n">
        <v>46286</v>
      </c>
      <c r="C33" s="21" t="inlineStr">
        <is>
          <t>TikTok + IG Reels</t>
        </is>
      </c>
      <c r="D33" s="21" t="inlineStr">
        <is>
          <t>Kia Rio: los 3 cambios que nadie te avisa</t>
        </is>
      </c>
      <c r="E33" s="21" t="inlineStr">
        <is>
          <t>Video vertical 30–45 s, cámara al celular con la app</t>
        </is>
      </c>
      <c r="F33" s="21" t="inlineStr">
        <is>
          <t>Escribe tu placa / link en bio</t>
        </is>
      </c>
      <c r="G33" s="21" t="inlineStr">
        <is>
          <t>Vistas, guardados, instalaciones</t>
        </is>
      </c>
      <c r="H33" s="28" t="inlineStr">
        <is>
          <t>Pendiente</t>
        </is>
      </c>
    </row>
    <row r="34">
      <c r="A34" s="26" t="n">
        <v>4</v>
      </c>
      <c r="B34" s="27" t="n">
        <v>46295</v>
      </c>
      <c r="C34" s="21" t="inlineStr">
        <is>
          <t>TikTok + IG Reels</t>
        </is>
      </c>
      <c r="D34" s="21" t="inlineStr">
        <is>
          <t>Hyundai Accent 2015: faja de distribución, la reparación de S/2.000 que se evita</t>
        </is>
      </c>
      <c r="E34" s="21" t="inlineStr">
        <is>
          <t>Video vertical 30–45 s, cámara al celular con la app</t>
        </is>
      </c>
      <c r="F34" s="21" t="inlineStr">
        <is>
          <t>Escribe tu placa / link en bio</t>
        </is>
      </c>
      <c r="G34" s="21" t="inlineStr">
        <is>
          <t>Vistas, guardados, instalaciones</t>
        </is>
      </c>
      <c r="H34" s="28" t="inlineStr">
        <is>
          <t>Pendiente</t>
        </is>
      </c>
    </row>
    <row r="35">
      <c r="A35" s="26" t="n">
        <v>4</v>
      </c>
      <c r="B35" s="27" t="n">
        <v>46297</v>
      </c>
      <c r="C35" s="21" t="inlineStr">
        <is>
          <t>TikTok + IG Reels</t>
        </is>
      </c>
      <c r="D35" s="21" t="inlineStr">
        <is>
          <t>Changan CS35 Plus: el manual que no está en ninguna app</t>
        </is>
      </c>
      <c r="E35" s="21" t="inlineStr">
        <is>
          <t>Video vertical 30–45 s, cámara al celular con la app</t>
        </is>
      </c>
      <c r="F35" s="21" t="inlineStr">
        <is>
          <t>Escribe tu placa / link en bio</t>
        </is>
      </c>
      <c r="G35" s="21" t="inlineStr">
        <is>
          <t>Vistas, guardados, instalaciones</t>
        </is>
      </c>
      <c r="H35" s="28" t="inlineStr">
        <is>
          <t>Pendiente</t>
        </is>
      </c>
    </row>
    <row r="36">
      <c r="A36" s="26" t="n">
        <v>4</v>
      </c>
      <c r="B36" s="27" t="n">
        <v>46293</v>
      </c>
      <c r="C36" s="21" t="inlineStr">
        <is>
          <t>TikTok + IG Reels</t>
        </is>
      </c>
      <c r="D36" s="21" t="inlineStr">
        <is>
          <t>Cómo saber si te cobraron de más en el cambio de aceite</t>
        </is>
      </c>
      <c r="E36" s="21" t="inlineStr">
        <is>
          <t>Video vertical 30–45 s, cámara al celular con la app</t>
        </is>
      </c>
      <c r="F36" s="21" t="inlineStr">
        <is>
          <t>Escribe tu placa / link en bio</t>
        </is>
      </c>
      <c r="G36" s="21" t="inlineStr">
        <is>
          <t>Vistas, guardados, instalaciones</t>
        </is>
      </c>
      <c r="H36" s="28" t="inlineStr">
        <is>
          <t>Pendiente</t>
        </is>
      </c>
    </row>
    <row r="37">
      <c r="A37" s="26" t="n">
        <v>5</v>
      </c>
      <c r="B37" s="27" t="n">
        <v>46302</v>
      </c>
      <c r="C37" s="21" t="inlineStr">
        <is>
          <t>TikTok + IG Reels</t>
        </is>
      </c>
      <c r="D37" s="21" t="inlineStr">
        <is>
          <t>Chery Tiggo 2: intervalos reales del manual peruano</t>
        </is>
      </c>
      <c r="E37" s="21" t="inlineStr">
        <is>
          <t>Video vertical 30–45 s, cámara al celular con la app</t>
        </is>
      </c>
      <c r="F37" s="21" t="inlineStr">
        <is>
          <t>Escribe tu placa / link en bio</t>
        </is>
      </c>
      <c r="G37" s="21" t="inlineStr">
        <is>
          <t>Vistas, guardados, instalaciones</t>
        </is>
      </c>
      <c r="H37" s="28" t="inlineStr">
        <is>
          <t>Pendiente</t>
        </is>
      </c>
    </row>
    <row r="38">
      <c r="A38" s="26" t="n">
        <v>5</v>
      </c>
      <c r="B38" s="27" t="n">
        <v>46304</v>
      </c>
      <c r="C38" s="21" t="inlineStr">
        <is>
          <t>TikTok + IG Reels</t>
        </is>
      </c>
      <c r="D38" s="21" t="inlineStr">
        <is>
          <t>¿Compraste usado? Esto es lo primero que hay que cambiar sí o sí</t>
        </is>
      </c>
      <c r="E38" s="21" t="inlineStr">
        <is>
          <t>Video vertical 30–45 s, cámara al celular con la app</t>
        </is>
      </c>
      <c r="F38" s="21" t="inlineStr">
        <is>
          <t>Escribe tu placa / link en bio</t>
        </is>
      </c>
      <c r="G38" s="21" t="inlineStr">
        <is>
          <t>Vistas, guardados, instalaciones</t>
        </is>
      </c>
      <c r="H38" s="28" t="inlineStr">
        <is>
          <t>Pendiente</t>
        </is>
      </c>
    </row>
    <row r="39">
      <c r="A39" s="26" t="n">
        <v>5</v>
      </c>
      <c r="B39" s="27" t="n">
        <v>46300</v>
      </c>
      <c r="C39" s="21" t="inlineStr">
        <is>
          <t>TikTok + IG Reels</t>
        </is>
      </c>
      <c r="D39" s="21" t="inlineStr">
        <is>
          <t>Presión de llantas: el número está en la puerta, no en la llanta</t>
        </is>
      </c>
      <c r="E39" s="21" t="inlineStr">
        <is>
          <t>Video vertical 30–45 s, cámara al celular con la app</t>
        </is>
      </c>
      <c r="F39" s="21" t="inlineStr">
        <is>
          <t>Escribe tu placa / link en bio</t>
        </is>
      </c>
      <c r="G39" s="21" t="inlineStr">
        <is>
          <t>Vistas, guardados, instalaciones</t>
        </is>
      </c>
      <c r="H39" s="28" t="inlineStr">
        <is>
          <t>Pendiente</t>
        </is>
      </c>
    </row>
    <row r="40">
      <c r="A40" s="26" t="n">
        <v>6</v>
      </c>
      <c r="B40" s="27" t="n">
        <v>46309</v>
      </c>
      <c r="C40" s="21" t="inlineStr">
        <is>
          <t>TikTok + IG Reels</t>
        </is>
      </c>
      <c r="D40" s="21" t="inlineStr">
        <is>
          <t>Fui a Peru Tech Week con esto en el celular</t>
        </is>
      </c>
      <c r="E40" s="21" t="inlineStr">
        <is>
          <t>Video vertical 30–45 s, cámara al celular con la app</t>
        </is>
      </c>
      <c r="F40" s="21" t="inlineStr">
        <is>
          <t>Escribe tu placa / link en bio</t>
        </is>
      </c>
      <c r="G40" s="21" t="inlineStr">
        <is>
          <t>Vistas, guardados, instalaciones</t>
        </is>
      </c>
      <c r="H40" s="28" t="inlineStr">
        <is>
          <t>Pendiente</t>
        </is>
      </c>
    </row>
    <row r="41">
      <c r="A41" s="26" t="n">
        <v>6</v>
      </c>
      <c r="B41" s="27" t="n">
        <v>46311</v>
      </c>
      <c r="C41" s="21" t="inlineStr">
        <is>
          <t>TikTok + IG Reels</t>
        </is>
      </c>
      <c r="D41" s="21" t="inlineStr">
        <is>
          <t>Chevrolet Onix: qué toca a los 30, 60 y 90 mil</t>
        </is>
      </c>
      <c r="E41" s="21" t="inlineStr">
        <is>
          <t>Video vertical 30–45 s, cámara al celular con la app</t>
        </is>
      </c>
      <c r="F41" s="21" t="inlineStr">
        <is>
          <t>Escribe tu placa / link en bio</t>
        </is>
      </c>
      <c r="G41" s="21" t="inlineStr">
        <is>
          <t>Vistas, guardados, instalaciones</t>
        </is>
      </c>
      <c r="H41" s="28" t="inlineStr">
        <is>
          <t>Pendiente</t>
        </is>
      </c>
    </row>
    <row r="42">
      <c r="A42" s="26" t="n">
        <v>6</v>
      </c>
      <c r="B42" s="27" t="n">
        <v>46307</v>
      </c>
      <c r="C42" s="21" t="inlineStr">
        <is>
          <t>TikTok + IG Reels</t>
        </is>
      </c>
      <c r="D42" s="21" t="inlineStr">
        <is>
          <t>Filtro de aire vs filtro de habitáculo: no son lo mismo y te cobran ambos</t>
        </is>
      </c>
      <c r="E42" s="21" t="inlineStr">
        <is>
          <t>Video vertical 30–45 s, cámara al celular con la app</t>
        </is>
      </c>
      <c r="F42" s="21" t="inlineStr">
        <is>
          <t>Escribe tu placa / link en bio</t>
        </is>
      </c>
      <c r="G42" s="21" t="inlineStr">
        <is>
          <t>Vistas, guardados, instalaciones</t>
        </is>
      </c>
      <c r="H42" s="28" t="inlineStr">
        <is>
          <t>Pendiente</t>
        </is>
      </c>
    </row>
    <row r="43">
      <c r="A43" s="26" t="n">
        <v>7</v>
      </c>
      <c r="B43" s="27" t="n">
        <v>46316</v>
      </c>
      <c r="C43" s="21" t="inlineStr">
        <is>
          <t>TikTok + IG Reels</t>
        </is>
      </c>
      <c r="D43" s="21" t="inlineStr">
        <is>
          <t>Suzuki Swift: plan de mantenimiento completo en 40 segundos</t>
        </is>
      </c>
      <c r="E43" s="21" t="inlineStr">
        <is>
          <t>Video vertical 30–45 s, cámara al celular con la app</t>
        </is>
      </c>
      <c r="F43" s="21" t="inlineStr">
        <is>
          <t>Escribe tu placa / link en bio</t>
        </is>
      </c>
      <c r="G43" s="21" t="inlineStr">
        <is>
          <t>Vistas, guardados, instalaciones</t>
        </is>
      </c>
      <c r="H43" s="28" t="inlineStr">
        <is>
          <t>Pendiente</t>
        </is>
      </c>
    </row>
    <row r="44">
      <c r="A44" s="26" t="n">
        <v>7</v>
      </c>
      <c r="B44" s="27" t="n">
        <v>46318</v>
      </c>
      <c r="C44" s="21" t="inlineStr">
        <is>
          <t>TikTok + IG Reels</t>
        </is>
      </c>
      <c r="D44" s="21" t="inlineStr">
        <is>
          <t>Lo que un mecánico me dijo cuando le mostré el manual</t>
        </is>
      </c>
      <c r="E44" s="21" t="inlineStr">
        <is>
          <t>Video vertical 30–45 s, cámara al celular con la app</t>
        </is>
      </c>
      <c r="F44" s="21" t="inlineStr">
        <is>
          <t>Escribe tu placa / link en bio</t>
        </is>
      </c>
      <c r="G44" s="21" t="inlineStr">
        <is>
          <t>Vistas, guardados, instalaciones</t>
        </is>
      </c>
      <c r="H44" s="28" t="inlineStr">
        <is>
          <t>Pendiente</t>
        </is>
      </c>
    </row>
    <row r="45">
      <c r="A45" s="26" t="n">
        <v>7</v>
      </c>
      <c r="B45" s="27" t="n">
        <v>46314</v>
      </c>
      <c r="C45" s="21" t="inlineStr">
        <is>
          <t>TikTok + IG Reels</t>
        </is>
      </c>
      <c r="D45" s="21" t="inlineStr">
        <is>
          <t>Nissan Versa: el servicio de los 100.000 km</t>
        </is>
      </c>
      <c r="E45" s="21" t="inlineStr">
        <is>
          <t>Video vertical 30–45 s, cámara al celular con la app</t>
        </is>
      </c>
      <c r="F45" s="21" t="inlineStr">
        <is>
          <t>Escribe tu placa / link en bio</t>
        </is>
      </c>
      <c r="G45" s="21" t="inlineStr">
        <is>
          <t>Vistas, guardados, instalaciones</t>
        </is>
      </c>
      <c r="H45" s="28" t="inlineStr">
        <is>
          <t>Pendiente</t>
        </is>
      </c>
    </row>
    <row r="46">
      <c r="A46" s="26" t="n">
        <v>8</v>
      </c>
      <c r="B46" s="27" t="n">
        <v>46323</v>
      </c>
      <c r="C46" s="21" t="inlineStr">
        <is>
          <t>TikTok + IG Reels</t>
        </is>
      </c>
      <c r="D46" s="21" t="inlineStr">
        <is>
          <t>Ya está en la App Store y Google Play. Escribe tu placa</t>
        </is>
      </c>
      <c r="E46" s="21" t="inlineStr">
        <is>
          <t>Video vertical 30–45 s, cámara al celular con la app</t>
        </is>
      </c>
      <c r="F46" s="21" t="inlineStr">
        <is>
          <t>Escribe tu placa / link en bio</t>
        </is>
      </c>
      <c r="G46" s="21" t="inlineStr">
        <is>
          <t>Vistas, guardados, instalaciones</t>
        </is>
      </c>
      <c r="H46" s="28" t="inlineStr">
        <is>
          <t>Pendiente</t>
        </is>
      </c>
    </row>
    <row r="47">
      <c r="A47" s="26" t="n">
        <v>8</v>
      </c>
      <c r="B47" s="27" t="n">
        <v>46325</v>
      </c>
      <c r="C47" s="21" t="inlineStr">
        <is>
          <t>TikTok + IG Reels</t>
        </is>
      </c>
      <c r="D47" s="21" t="inlineStr">
        <is>
          <t>Subí el manual de mi auto y esto salió</t>
        </is>
      </c>
      <c r="E47" s="21" t="inlineStr">
        <is>
          <t>Video vertical 30–45 s, cámara al celular con la app</t>
        </is>
      </c>
      <c r="F47" s="21" t="inlineStr">
        <is>
          <t>Escribe tu placa / link en bio</t>
        </is>
      </c>
      <c r="G47" s="21" t="inlineStr">
        <is>
          <t>Vistas, guardados, instalaciones</t>
        </is>
      </c>
      <c r="H47" s="28" t="inlineStr">
        <is>
          <t>Pendiente</t>
        </is>
      </c>
    </row>
    <row r="48">
      <c r="A48" s="26" t="n">
        <v>8</v>
      </c>
      <c r="B48" s="27" t="n">
        <v>46321</v>
      </c>
      <c r="C48" s="21" t="inlineStr">
        <is>
          <t>TikTok + IG Reels</t>
        </is>
      </c>
      <c r="D48" s="21" t="inlineStr">
        <is>
          <t>El primer plan que generó un usuario real</t>
        </is>
      </c>
      <c r="E48" s="21" t="inlineStr">
        <is>
          <t>Video vertical 30–45 s, cámara al celular con la app</t>
        </is>
      </c>
      <c r="F48" s="21" t="inlineStr">
        <is>
          <t>Escribe tu placa / link en bio</t>
        </is>
      </c>
      <c r="G48" s="21" t="inlineStr">
        <is>
          <t>Vistas, guardados, instalaciones</t>
        </is>
      </c>
      <c r="H48" s="28" t="inlineStr">
        <is>
          <t>Pendiente</t>
        </is>
      </c>
    </row>
    <row r="49">
      <c r="A49" s="26" t="n">
        <v>9</v>
      </c>
      <c r="B49" s="27" t="n">
        <v>46330</v>
      </c>
      <c r="C49" s="21" t="inlineStr">
        <is>
          <t>TikTok + IG Reels</t>
        </is>
      </c>
      <c r="D49" s="21" t="inlineStr">
        <is>
          <t>Qué pasa si no cambias el refrigerante nunca</t>
        </is>
      </c>
      <c r="E49" s="21" t="inlineStr">
        <is>
          <t>Video vertical 30–45 s, cámara al celular con la app</t>
        </is>
      </c>
      <c r="F49" s="21" t="inlineStr">
        <is>
          <t>Escribe tu placa / link en bio</t>
        </is>
      </c>
      <c r="G49" s="21" t="inlineStr">
        <is>
          <t>Vistas, guardados, instalaciones</t>
        </is>
      </c>
      <c r="H49" s="28" t="inlineStr">
        <is>
          <t>Pendiente</t>
        </is>
      </c>
    </row>
    <row r="50">
      <c r="A50" s="26" t="n">
        <v>9</v>
      </c>
      <c r="B50" s="27" t="n">
        <v>46332</v>
      </c>
      <c r="C50" s="21" t="inlineStr">
        <is>
          <t>TikTok + IG Reels</t>
        </is>
      </c>
      <c r="D50" s="21" t="inlineStr">
        <is>
          <t>Kia Rio vs Hyundai Accent: mismo motor, distinto manual</t>
        </is>
      </c>
      <c r="E50" s="21" t="inlineStr">
        <is>
          <t>Video vertical 30–45 s, cámara al celular con la app</t>
        </is>
      </c>
      <c r="F50" s="21" t="inlineStr">
        <is>
          <t>Escribe tu placa / link en bio</t>
        </is>
      </c>
      <c r="G50" s="21" t="inlineStr">
        <is>
          <t>Vistas, guardados, instalaciones</t>
        </is>
      </c>
      <c r="H50" s="28" t="inlineStr">
        <is>
          <t>Pendiente</t>
        </is>
      </c>
    </row>
    <row r="51">
      <c r="A51" s="26" t="n">
        <v>9</v>
      </c>
      <c r="B51" s="27" t="n">
        <v>46328</v>
      </c>
      <c r="C51" s="21" t="inlineStr">
        <is>
          <t>TikTok + IG Reels</t>
        </is>
      </c>
      <c r="D51" s="21" t="inlineStr">
        <is>
          <t>Tu auto usado con 80.000 km: por dónde empezar</t>
        </is>
      </c>
      <c r="E51" s="21" t="inlineStr">
        <is>
          <t>Video vertical 30–45 s, cámara al celular con la app</t>
        </is>
      </c>
      <c r="F51" s="21" t="inlineStr">
        <is>
          <t>Escribe tu placa / link en bio</t>
        </is>
      </c>
      <c r="G51" s="21" t="inlineStr">
        <is>
          <t>Vistas, guardados, instalaciones</t>
        </is>
      </c>
      <c r="H51" s="28" t="inlineStr">
        <is>
          <t>Pendiente</t>
        </is>
      </c>
    </row>
    <row r="52">
      <c r="A52" s="26" t="n">
        <v>10</v>
      </c>
      <c r="B52" s="27" t="n">
        <v>46337</v>
      </c>
      <c r="C52" s="21" t="inlineStr">
        <is>
          <t>TikTok + IG Reels</t>
        </is>
      </c>
      <c r="D52" s="21" t="inlineStr">
        <is>
          <t>Frenos: cuándo cambiar pastillas según el manual, no según el taller</t>
        </is>
      </c>
      <c r="E52" s="21" t="inlineStr">
        <is>
          <t>Video vertical 30–45 s, cámara al celular con la app</t>
        </is>
      </c>
      <c r="F52" s="21" t="inlineStr">
        <is>
          <t>Escribe tu placa / link en bio</t>
        </is>
      </c>
      <c r="G52" s="21" t="inlineStr">
        <is>
          <t>Vistas, guardados, instalaciones</t>
        </is>
      </c>
      <c r="H52" s="28" t="inlineStr">
        <is>
          <t>Pendiente</t>
        </is>
      </c>
    </row>
    <row r="53">
      <c r="A53" s="26" t="n">
        <v>10</v>
      </c>
      <c r="B53" s="27" t="n">
        <v>46339</v>
      </c>
      <c r="C53" s="21" t="inlineStr">
        <is>
          <t>TikTok + IG Reels</t>
        </is>
      </c>
      <c r="D53" s="21" t="inlineStr">
        <is>
          <t>Le mostré el plan a mi mecánico y esto pasó</t>
        </is>
      </c>
      <c r="E53" s="21" t="inlineStr">
        <is>
          <t>Video vertical 30–45 s, cámara al celular con la app</t>
        </is>
      </c>
      <c r="F53" s="21" t="inlineStr">
        <is>
          <t>Escribe tu placa / link en bio</t>
        </is>
      </c>
      <c r="G53" s="21" t="inlineStr">
        <is>
          <t>Vistas, guardados, instalaciones</t>
        </is>
      </c>
      <c r="H53" s="28" t="inlineStr">
        <is>
          <t>Pendiente</t>
        </is>
      </c>
    </row>
    <row r="54">
      <c r="A54" s="26" t="n">
        <v>10</v>
      </c>
      <c r="B54" s="27" t="n">
        <v>46335</v>
      </c>
      <c r="C54" s="21" t="inlineStr">
        <is>
          <t>TikTok + IG Reels</t>
        </is>
      </c>
      <c r="D54" s="21" t="inlineStr">
        <is>
          <t>Los 3 servicios que más se cobran de más en Lima</t>
        </is>
      </c>
      <c r="E54" s="21" t="inlineStr">
        <is>
          <t>Video vertical 30–45 s, cámara al celular con la app</t>
        </is>
      </c>
      <c r="F54" s="21" t="inlineStr">
        <is>
          <t>Escribe tu placa / link en bio</t>
        </is>
      </c>
      <c r="G54" s="21" t="inlineStr">
        <is>
          <t>Vistas, guardados, instalaciones</t>
        </is>
      </c>
      <c r="H54" s="28" t="inlineStr">
        <is>
          <t>Pendiente</t>
        </is>
      </c>
    </row>
    <row r="55">
      <c r="A55" s="26" t="n">
        <v>11</v>
      </c>
      <c r="B55" s="27" t="n">
        <v>46344</v>
      </c>
      <c r="C55" s="21" t="inlineStr">
        <is>
          <t>TikTok + IG Reels</t>
        </is>
      </c>
      <c r="D55" s="21" t="inlineStr">
        <is>
          <t>Bujías: cada cuánto de verdad</t>
        </is>
      </c>
      <c r="E55" s="21" t="inlineStr">
        <is>
          <t>Video vertical 30–45 s, cámara al celular con la app</t>
        </is>
      </c>
      <c r="F55" s="21" t="inlineStr">
        <is>
          <t>Escribe tu placa / link en bio</t>
        </is>
      </c>
      <c r="G55" s="21" t="inlineStr">
        <is>
          <t>Vistas, guardados, instalaciones</t>
        </is>
      </c>
      <c r="H55" s="28" t="inlineStr">
        <is>
          <t>Pendiente</t>
        </is>
      </c>
    </row>
    <row r="56">
      <c r="A56" s="26" t="n">
        <v>11</v>
      </c>
      <c r="B56" s="27" t="n">
        <v>46346</v>
      </c>
      <c r="C56" s="21" t="inlineStr">
        <is>
          <t>TikTok + IG Reels</t>
        </is>
      </c>
      <c r="D56" s="21" t="inlineStr">
        <is>
          <t>El error más común del primer auto: esperar a que suene</t>
        </is>
      </c>
      <c r="E56" s="21" t="inlineStr">
        <is>
          <t>Video vertical 30–45 s, cámara al celular con la app</t>
        </is>
      </c>
      <c r="F56" s="21" t="inlineStr">
        <is>
          <t>Escribe tu placa / link en bio</t>
        </is>
      </c>
      <c r="G56" s="21" t="inlineStr">
        <is>
          <t>Vistas, guardados, instalaciones</t>
        </is>
      </c>
      <c r="H56" s="28" t="inlineStr">
        <is>
          <t>Pendiente</t>
        </is>
      </c>
    </row>
    <row r="57">
      <c r="A57" s="26" t="n">
        <v>11</v>
      </c>
      <c r="B57" s="27" t="n">
        <v>46342</v>
      </c>
      <c r="C57" s="21" t="inlineStr">
        <is>
          <t>TikTok + IG Reels</t>
        </is>
      </c>
      <c r="D57" s="21" t="inlineStr">
        <is>
          <t>Cómo leer el manual de tu auto en 2 minutos</t>
        </is>
      </c>
      <c r="E57" s="21" t="inlineStr">
        <is>
          <t>Video vertical 30–45 s, cámara al celular con la app</t>
        </is>
      </c>
      <c r="F57" s="21" t="inlineStr">
        <is>
          <t>Escribe tu placa / link en bio</t>
        </is>
      </c>
      <c r="G57" s="21" t="inlineStr">
        <is>
          <t>Vistas, guardados, instalaciones</t>
        </is>
      </c>
      <c r="H57" s="28" t="inlineStr">
        <is>
          <t>Pendiente</t>
        </is>
      </c>
    </row>
    <row r="58">
      <c r="A58" s="26" t="n">
        <v>12</v>
      </c>
      <c r="B58" s="27" t="n">
        <v>46351</v>
      </c>
      <c r="C58" s="21" t="inlineStr">
        <is>
          <t>TikTok + IG Reels</t>
        </is>
      </c>
      <c r="D58" s="21" t="inlineStr">
        <is>
          <t>Aceite 5W-30 vs 10W-40: lo que dice TU manual</t>
        </is>
      </c>
      <c r="E58" s="21" t="inlineStr">
        <is>
          <t>Video vertical 30–45 s, cámara al celular con la app</t>
        </is>
      </c>
      <c r="F58" s="21" t="inlineStr">
        <is>
          <t>Escribe tu placa / link en bio</t>
        </is>
      </c>
      <c r="G58" s="21" t="inlineStr">
        <is>
          <t>Vistas, guardados, instalaciones</t>
        </is>
      </c>
      <c r="H58" s="28" t="inlineStr">
        <is>
          <t>Pendiente</t>
        </is>
      </c>
    </row>
    <row r="59">
      <c r="A59" s="26" t="n">
        <v>12</v>
      </c>
      <c r="B59" s="27" t="n">
        <v>46353</v>
      </c>
      <c r="C59" s="21" t="inlineStr">
        <is>
          <t>TikTok + IG Reels</t>
        </is>
      </c>
      <c r="D59" s="21" t="inlineStr">
        <is>
          <t>Auto chino en Perú: dónde conseguir el manual en PDF</t>
        </is>
      </c>
      <c r="E59" s="21" t="inlineStr">
        <is>
          <t>Video vertical 30–45 s, cámara al celular con la app</t>
        </is>
      </c>
      <c r="F59" s="21" t="inlineStr">
        <is>
          <t>Escribe tu placa / link en bio</t>
        </is>
      </c>
      <c r="G59" s="21" t="inlineStr">
        <is>
          <t>Vistas, guardados, instalaciones</t>
        </is>
      </c>
      <c r="H59" s="28" t="inlineStr">
        <is>
          <t>Pendiente</t>
        </is>
      </c>
    </row>
    <row r="60">
      <c r="A60" s="26" t="n">
        <v>12</v>
      </c>
      <c r="B60" s="27" t="n">
        <v>46349</v>
      </c>
      <c r="C60" s="21" t="inlineStr">
        <is>
          <t>TikTok + IG Reels</t>
        </is>
      </c>
      <c r="D60" s="21" t="inlineStr">
        <is>
          <t>Qué le toca a un Yaris 2013 con 120.000 km</t>
        </is>
      </c>
      <c r="E60" s="21" t="inlineStr">
        <is>
          <t>Video vertical 30–45 s, cámara al celular con la app</t>
        </is>
      </c>
      <c r="F60" s="21" t="inlineStr">
        <is>
          <t>Escribe tu placa / link en bio</t>
        </is>
      </c>
      <c r="G60" s="21" t="inlineStr">
        <is>
          <t>Vistas, guardados, instalaciones</t>
        </is>
      </c>
      <c r="H60" s="28" t="inlineStr">
        <is>
          <t>Pendiente</t>
        </is>
      </c>
    </row>
    <row r="61">
      <c r="A61" s="26" t="n">
        <v>13</v>
      </c>
      <c r="B61" s="27" t="n">
        <v>46358</v>
      </c>
      <c r="C61" s="21" t="inlineStr">
        <is>
          <t>TikTok + IG Reels</t>
        </is>
      </c>
      <c r="D61" s="21" t="inlineStr">
        <is>
          <t>3 meses de Fixly: lo que aprendí de 300 manuales (o los que sean)</t>
        </is>
      </c>
      <c r="E61" s="21" t="inlineStr">
        <is>
          <t>Video vertical 30–45 s, cámara al celular con la app</t>
        </is>
      </c>
      <c r="F61" s="21" t="inlineStr">
        <is>
          <t>Escribe tu placa / link en bio</t>
        </is>
      </c>
      <c r="G61" s="21" t="inlineStr">
        <is>
          <t>Vistas, guardados, instalaciones</t>
        </is>
      </c>
      <c r="H61" s="28" t="inlineStr">
        <is>
          <t>Pendiente</t>
        </is>
      </c>
    </row>
    <row r="62">
      <c r="A62" s="26" t="n">
        <v>13</v>
      </c>
      <c r="B62" s="27" t="n">
        <v>46360</v>
      </c>
      <c r="C62" s="21" t="inlineStr">
        <is>
          <t>TikTok + IG Reels</t>
        </is>
      </c>
      <c r="D62" s="21" t="inlineStr">
        <is>
          <t>El servicio que más gente tiene vencido sin saberlo</t>
        </is>
      </c>
      <c r="E62" s="21" t="inlineStr">
        <is>
          <t>Video vertical 30–45 s, cámara al celular con la app</t>
        </is>
      </c>
      <c r="F62" s="21" t="inlineStr">
        <is>
          <t>Escribe tu placa / link en bio</t>
        </is>
      </c>
      <c r="G62" s="21" t="inlineStr">
        <is>
          <t>Vistas, guardados, instalaciones</t>
        </is>
      </c>
      <c r="H62" s="28" t="inlineStr">
        <is>
          <t>Pendiente</t>
        </is>
      </c>
    </row>
    <row r="63">
      <c r="A63" s="26" t="n">
        <v>13</v>
      </c>
      <c r="B63" s="27" t="n">
        <v>46356</v>
      </c>
      <c r="C63" s="21" t="inlineStr">
        <is>
          <t>TikTok + IG Reels</t>
        </is>
      </c>
      <c r="D63" s="21" t="inlineStr">
        <is>
          <t>Regalo: plan del modelo más pedido, gratis, en la landing</t>
        </is>
      </c>
      <c r="E63" s="21" t="inlineStr">
        <is>
          <t>Video vertical 30–45 s, cámara al celular con la app</t>
        </is>
      </c>
      <c r="F63" s="21" t="inlineStr">
        <is>
          <t>Escribe tu placa / link en bio</t>
        </is>
      </c>
      <c r="G63" s="21" t="inlineStr">
        <is>
          <t>Vistas, guardados, instalaciones</t>
        </is>
      </c>
      <c r="H63" s="28" t="inlineStr">
        <is>
          <t>Pendiente</t>
        </is>
      </c>
    </row>
    <row r="64">
      <c r="A64" s="26" t="n">
        <v>2</v>
      </c>
      <c r="B64" s="27" t="n">
        <v>46279</v>
      </c>
      <c r="C64" s="21" t="inlineStr">
        <is>
          <t>Grupos de Facebook</t>
        </is>
      </c>
      <c r="D64" s="21" t="inlineStr">
        <is>
          <t>Unirse a 10 grupos: 'Toyota Yaris Perú', 'Kia Rio Perú', 'Hyundai Accent Perú', 'Changan Perú', 'Chery Perú', 'Autos usados Lima', 'Primer auto Perú', 'Mecánica automotriz Perú', 'Chevrolet Onix Perú', 'Suzuki Swift Perú' (buscar los reales)</t>
        </is>
      </c>
      <c r="E64" s="21" t="inlineStr">
        <is>
          <t>Solo leer y responder dudas</t>
        </is>
      </c>
      <c r="F64" s="21" t="inlineStr">
        <is>
          <t>Ninguno hasta S7; luego captura, no link</t>
        </is>
      </c>
      <c r="G64" s="21" t="inlineStr">
        <is>
          <t>Instalaciones atribuidas</t>
        </is>
      </c>
      <c r="H64" s="28" t="inlineStr">
        <is>
          <t>Pendiente</t>
        </is>
      </c>
    </row>
    <row r="65">
      <c r="A65" s="26" t="n">
        <v>3</v>
      </c>
      <c r="B65" s="27" t="n">
        <v>46286</v>
      </c>
      <c r="C65" s="21" t="inlineStr">
        <is>
          <t>Grupos de Facebook</t>
        </is>
      </c>
      <c r="D65" s="21" t="inlineStr">
        <is>
          <t>Responder 3 dudas por semana con datos del manual (sin mencionar Fixly)</t>
        </is>
      </c>
      <c r="E65" s="21" t="inlineStr">
        <is>
          <t>Comentario</t>
        </is>
      </c>
      <c r="F65" s="21" t="inlineStr">
        <is>
          <t>Ninguno hasta S7; luego captura, no link</t>
        </is>
      </c>
      <c r="G65" s="21" t="inlineStr">
        <is>
          <t>Instalaciones atribuidas</t>
        </is>
      </c>
      <c r="H65" s="28" t="inlineStr">
        <is>
          <t>Pendiente</t>
        </is>
      </c>
    </row>
    <row r="66">
      <c r="A66" s="26" t="n">
        <v>7</v>
      </c>
      <c r="B66" s="27" t="n">
        <v>46314</v>
      </c>
      <c r="C66" s="21" t="inlineStr">
        <is>
          <t>Grupos de Facebook</t>
        </is>
      </c>
      <c r="D66" s="21" t="inlineStr">
        <is>
          <t>Primera captura del plan: 'armé el plan de mantenimiento del Yaris según el manual, por si a alguien le sirve'</t>
        </is>
      </c>
      <c r="E66" s="21" t="inlineStr">
        <is>
          <t>Imagen del plan (P10)</t>
        </is>
      </c>
      <c r="F66" s="21" t="inlineStr">
        <is>
          <t>Ninguno hasta S7; luego captura, no link</t>
        </is>
      </c>
      <c r="G66" s="21" t="inlineStr">
        <is>
          <t>Instalaciones atribuidas</t>
        </is>
      </c>
      <c r="H66" s="28" t="inlineStr">
        <is>
          <t>Pendiente</t>
        </is>
      </c>
    </row>
    <row r="67">
      <c r="A67" s="26" t="n">
        <v>9</v>
      </c>
      <c r="B67" s="27" t="n">
        <v>46328</v>
      </c>
      <c r="C67" s="21" t="inlineStr">
        <is>
          <t>Grupos de Facebook</t>
        </is>
      </c>
      <c r="D67" s="21" t="inlineStr">
        <is>
          <t>Captura por modelo en el grupo de ese modelo, 2 por semana</t>
        </is>
      </c>
      <c r="E67" s="21" t="inlineStr">
        <is>
          <t>Imagen del plan</t>
        </is>
      </c>
      <c r="F67" s="21" t="inlineStr">
        <is>
          <t>Ninguno hasta S7; luego captura, no link</t>
        </is>
      </c>
      <c r="G67" s="21" t="inlineStr">
        <is>
          <t>Instalaciones atribuidas</t>
        </is>
      </c>
      <c r="H67" s="28" t="inlineStr">
        <is>
          <t>Pendiente</t>
        </is>
      </c>
    </row>
    <row r="68">
      <c r="A68" s="26" t="n">
        <v>11</v>
      </c>
      <c r="B68" s="27" t="n">
        <v>46342</v>
      </c>
      <c r="C68" s="21" t="inlineStr">
        <is>
          <t>Grupos de Facebook</t>
        </is>
      </c>
      <c r="D68" s="21" t="inlineStr">
        <is>
          <t>Pedir a usuarios que pagaron que compartan su plan en su grupo</t>
        </is>
      </c>
      <c r="E68" s="21" t="inlineStr">
        <is>
          <t>Imagen del plan</t>
        </is>
      </c>
      <c r="F68" s="21" t="inlineStr">
        <is>
          <t>Ninguno hasta S7; luego captura, no link</t>
        </is>
      </c>
      <c r="G68" s="21" t="inlineStr">
        <is>
          <t>Instalaciones atribuidas</t>
        </is>
      </c>
      <c r="H68" s="28" t="inlineStr">
        <is>
          <t>Pendiente</t>
        </is>
      </c>
    </row>
    <row r="70">
      <c r="C70" s="3" t="inlineStr">
        <is>
          <t>Piezas totales</t>
        </is>
      </c>
      <c r="D70" s="3">
        <f>COUNTA(D5:D68)</f>
        <v/>
      </c>
    </row>
    <row r="71">
      <c r="C71" s="3" t="inlineStr">
        <is>
          <t>LinkedIn</t>
        </is>
      </c>
      <c r="D71" s="3">
        <f>COUNTIF(C5:C68,"LinkedIn")</f>
        <v/>
      </c>
    </row>
    <row r="72">
      <c r="C72" s="3" t="inlineStr">
        <is>
          <t>TikTok + IG</t>
        </is>
      </c>
      <c r="D72" s="3">
        <f>COUNTIF(C5:C68,"TikTok + IG Reels")</f>
        <v/>
      </c>
    </row>
    <row r="73">
      <c r="C73" s="3" t="inlineStr">
        <is>
          <t>Publicadas</t>
        </is>
      </c>
      <c r="D73" s="3">
        <f>COUNTIF(H5:H68,"Publicado")</f>
        <v/>
      </c>
    </row>
  </sheetData>
  <autoFilter ref="A4:H68"/>
  <pageMargins left="0.75" right="0.75" top="1" bottom="1" header="0.5" footer="0.5"/>
  <pageSetup orientation="landscape" fitToWidth="1"/>
</worksheet>
</file>

<file path=xl/worksheets/sheet5.xml><?xml version="1.0" encoding="utf-8"?>
<worksheet xmlns="http://schemas.openxmlformats.org/spreadsheetml/2006/main">
  <sheetPr>
    <outlinePr summaryBelow="1" summaryRight="1"/>
    <pageSetUpPr fitToPage="1"/>
  </sheetPr>
  <dimension ref="A1:G22"/>
  <sheetViews>
    <sheetView workbookViewId="0">
      <pane ySplit="4" topLeftCell="A5" activePane="bottomLeft" state="frozen"/>
      <selection pane="bottomLeft" activeCell="A1" sqref="A1"/>
    </sheetView>
  </sheetViews>
  <sheetFormatPr baseColWidth="8" defaultRowHeight="15"/>
  <cols>
    <col width="16" customWidth="1" min="1" max="1"/>
    <col width="30" customWidth="1" min="2" max="2"/>
    <col width="52" customWidth="1" min="3" max="3"/>
    <col width="52" customWidth="1" min="4" max="4"/>
    <col width="8" customWidth="1" min="5" max="5"/>
    <col width="40" customWidth="1" min="6" max="6"/>
    <col width="12" customWidth="1" min="7" max="7"/>
  </cols>
  <sheetData>
    <row r="1">
      <c r="A1" s="1" t="inlineStr">
        <is>
          <t>Ecosistema: programas, comunidades, eventos y medios (Perú)</t>
        </is>
      </c>
    </row>
    <row r="2">
      <c r="A2" s="2" t="inlineStr">
        <is>
          <t>Verificado el 6 set 2026 donde se indica fuente. Lo que no tiene fecha, confírmalo tú antes de la semana indicada.</t>
        </is>
      </c>
    </row>
    <row r="4" ht="30" customHeight="1">
      <c r="A4" s="10" t="inlineStr">
        <is>
          <t>Tipo</t>
        </is>
      </c>
      <c r="B4" s="10" t="inlineStr">
        <is>
          <t>Nombre</t>
        </is>
      </c>
      <c r="C4" s="10" t="inlineStr">
        <is>
          <t>Qué es / requisito</t>
        </is>
      </c>
      <c r="D4" s="10" t="inlineStr">
        <is>
          <t>Qué hacer</t>
        </is>
      </c>
      <c r="E4" s="10" t="inlineStr">
        <is>
          <t>Semana</t>
        </is>
      </c>
      <c r="F4" s="10" t="inlineStr">
        <is>
          <t>URL / contacto</t>
        </is>
      </c>
      <c r="G4" s="10" t="inlineStr">
        <is>
          <t>Estado</t>
        </is>
      </c>
    </row>
    <row r="5" ht="58" customHeight="1">
      <c r="A5" s="21" t="inlineStr">
        <is>
          <t>Evento</t>
        </is>
      </c>
      <c r="B5" s="21" t="inlineStr">
        <is>
          <t>Peru Tech Week 2026</t>
        </is>
      </c>
      <c r="C5" s="21" t="inlineStr">
        <is>
          <t>12–18 de octubre, Lima. Semana nacional de tecnología: fundadores, inversores, corporativos. Ancla Peru VC Conference y Experiencia Endeavor. Verificado.</t>
        </is>
      </c>
      <c r="D5" s="21" t="inlineStr">
        <is>
          <t>Inscribirse en S3 a 3 eventos abiertos. Ir con TestFlight. Meta: 15 conversaciones, 5 testers, 3 contactos de talleres/concesionarios.</t>
        </is>
      </c>
      <c r="E5" s="22" t="n">
        <v>3</v>
      </c>
      <c r="F5" s="21" t="inlineStr">
        <is>
          <t>https://techweek.pe/</t>
        </is>
      </c>
      <c r="G5" s="28" t="inlineStr">
        <is>
          <t>Pendiente</t>
        </is>
      </c>
    </row>
    <row r="6" ht="58" customHeight="1">
      <c r="A6" s="21" t="inlineStr">
        <is>
          <t>Evento</t>
        </is>
      </c>
      <c r="B6" s="21" t="inlineStr">
        <is>
          <t>Peru Venture Capital Conference (11.ª ed.)</t>
        </is>
      </c>
      <c r="C6" s="21" t="inlineStr">
        <is>
          <t>Dentro de Tech Week. Orientado a capital. No vas a levantar plata: vas a escuchar qué preguntan los fondos peruanos a apps de consumo.</t>
        </is>
      </c>
      <c r="D6" s="21" t="inlineStr">
        <is>
          <t>Asistir solo si hay entrada accesible; si no, ir a los side events gratuitos.</t>
        </is>
      </c>
      <c r="E6" s="22" t="n">
        <v>6</v>
      </c>
      <c r="F6" s="21" t="inlineStr">
        <is>
          <t>https://www.peruvcconference.com/</t>
        </is>
      </c>
      <c r="G6" s="28" t="inlineStr">
        <is>
          <t>Pendiente</t>
        </is>
      </c>
    </row>
    <row r="7" ht="58" customHeight="1">
      <c r="A7" s="21" t="inlineStr">
        <is>
          <t>Evento</t>
        </is>
      </c>
      <c r="B7" s="21" t="inlineStr">
        <is>
          <t>AWS Startup Connect Lima</t>
        </is>
      </c>
      <c r="C7" s="21" t="inlineStr">
        <is>
          <t>Evento recurrente de AWS para startups en Lima. Créditos de nube posibles (AWS Activate).</t>
        </is>
      </c>
      <c r="D7" s="21" t="inlineStr">
        <is>
          <t>Asistir a la siguiente edición. Pedir AWS Activate (créditos para el backend).</t>
        </is>
      </c>
      <c r="E7" s="22" t="n">
        <v>4</v>
      </c>
      <c r="F7" s="21" t="inlineStr">
        <is>
          <t>https://aws.amazon.com/startups/events/aws-startup-connect-lima?lang=es</t>
        </is>
      </c>
      <c r="G7" s="28" t="inlineStr">
        <is>
          <t>Pendiente</t>
        </is>
      </c>
    </row>
    <row r="8" ht="58" customHeight="1">
      <c r="A8" s="21" t="inlineStr">
        <is>
          <t>Comunidad</t>
        </is>
      </c>
      <c r="B8" s="21" t="inlineStr">
        <is>
          <t>Startup Grind Lima</t>
        </is>
      </c>
      <c r="C8" s="21" t="inlineStr">
        <is>
          <t>Meetups mensuales con fundadores. Open networking.</t>
        </is>
      </c>
      <c r="D8" s="21" t="inlineStr">
        <is>
          <t>1 asistencia al mes. Presentar 2 minutos si hay espacio.</t>
        </is>
      </c>
      <c r="E8" s="22" t="n">
        <v>4</v>
      </c>
      <c r="F8" s="21" t="inlineStr">
        <is>
          <t>Buscar 'Startup Grind Lima' en Meetup/Eventbrite</t>
        </is>
      </c>
      <c r="G8" s="28" t="inlineStr">
        <is>
          <t>Pendiente</t>
        </is>
      </c>
    </row>
    <row r="9" ht="58" customHeight="1">
      <c r="A9" s="21" t="inlineStr">
        <is>
          <t>Comunidad</t>
        </is>
      </c>
      <c r="B9" s="21" t="inlineStr">
        <is>
          <t>Emprende UP · Startup Fest</t>
        </is>
      </c>
      <c r="C9" s="21" t="inlineStr">
        <is>
          <t>Incubadora de la U. del Pacífico; organiza Startup Fest.</t>
        </is>
      </c>
      <c r="D9" s="21" t="inlineStr">
        <is>
          <t>Asistir al Startup Fest si cae en el trimestre; pedir reunión en S12 con métricas.</t>
        </is>
      </c>
      <c r="E9" s="22" t="n">
        <v>12</v>
      </c>
      <c r="F9" s="21" t="inlineStr">
        <is>
          <t>https://emprendeup.pe/</t>
        </is>
      </c>
      <c r="G9" s="28" t="inlineStr">
        <is>
          <t>Pendiente</t>
        </is>
      </c>
    </row>
    <row r="10" ht="58" customHeight="1">
      <c r="A10" s="21" t="inlineStr">
        <is>
          <t>Incubadora</t>
        </is>
      </c>
      <c r="B10" s="21" t="inlineStr">
        <is>
          <t>UTEC Ventures</t>
        </is>
      </c>
      <c r="C10" s="21" t="inlineStr">
        <is>
          <t>Aceleradora de UTEC, programa intensivo de 3 meses, foco tecnológico. +54 startups.</t>
        </is>
      </c>
      <c r="D10" s="21" t="inlineStr">
        <is>
          <t>Reunión en S12–13 con 4 semanas de datos en tienda. Sin datos no vale la pena.</t>
        </is>
      </c>
      <c r="E10" s="22" t="n">
        <v>12</v>
      </c>
      <c r="F10" s="21" t="inlineStr">
        <is>
          <t>https://utec.edu.pe/ (UTEC Ventures)</t>
        </is>
      </c>
      <c r="G10" s="28" t="inlineStr">
        <is>
          <t>Pendiente</t>
        </is>
      </c>
    </row>
    <row r="11" ht="58" customHeight="1">
      <c r="A11" s="21" t="inlineStr">
        <is>
          <t>Incubadora</t>
        </is>
      </c>
      <c r="B11" s="21" t="inlineStr">
        <is>
          <t>Wayra Perú (Telefónica)</t>
        </is>
      </c>
      <c r="C11" s="21" t="inlineStr">
        <is>
          <t>Aceleradora corporativa. Abre convocatorias por temas digitales.</t>
        </is>
      </c>
      <c r="D11" s="21" t="inlineStr">
        <is>
          <t>Solo si abren convocatoria de movilidad/consumo en el trimestre. Revisar en S8.</t>
        </is>
      </c>
      <c r="E11" s="22" t="n">
        <v>8</v>
      </c>
      <c r="F11" s="21" t="inlineStr">
        <is>
          <t>https://www.telefonica.com/ (Wayra)</t>
        </is>
      </c>
      <c r="G11" s="28" t="inlineStr">
        <is>
          <t>Pendiente</t>
        </is>
      </c>
    </row>
    <row r="12" ht="58" customHeight="1">
      <c r="A12" s="21" t="inlineStr">
        <is>
          <t>Fondo público</t>
        </is>
      </c>
      <c r="B12" s="21" t="inlineStr">
        <is>
          <t>StartUp Perú · Emprendimientos Innovadores (ProInnóvate)</t>
        </is>
      </c>
      <c r="C12" s="21" t="inlineStr">
        <is>
          <t>Hasta S/67.000 no reembolsables. CERRADO. Exige empresa ≤1,5 años constituida, ventas ≤S/120k, equipo 2–4 personas, 1 dedicado 100%. Verificado.</t>
        </is>
      </c>
      <c r="D12" s="21" t="inlineStr">
        <is>
          <t>No aplica en 2026. En S12 decidir si constituir empresa y buscar cofundador para la convocatoria 2027. Escribir a startup@proinnovate.gob.pe para fechas.</t>
        </is>
      </c>
      <c r="E12" s="22" t="n">
        <v>12</v>
      </c>
      <c r="F12" s="21" t="inlineStr">
        <is>
          <t>https://startup.proinnovate.gob.pe/concursos/emprendimientos-innovadores/</t>
        </is>
      </c>
      <c r="G12" s="28" t="inlineStr">
        <is>
          <t>Pendiente</t>
        </is>
      </c>
    </row>
    <row r="13" ht="58" customHeight="1">
      <c r="A13" s="21" t="inlineStr">
        <is>
          <t>Fondo público</t>
        </is>
      </c>
      <c r="B13" s="21" t="inlineStr">
        <is>
          <t>StartUp Perú · Emprendimientos Dinámicos</t>
        </is>
      </c>
      <c r="C13" s="21" t="inlineStr">
        <is>
          <t>Hasta S/150.000. Exige 1–5 años y ventas ≥S/120.000. No aplica.</t>
        </is>
      </c>
      <c r="D13" s="21" t="inlineStr">
        <is>
          <t>Ignorar hasta tener ventas.</t>
        </is>
      </c>
      <c r="E13" s="22" t="n">
        <v>0</v>
      </c>
      <c r="F13" s="21" t="inlineStr">
        <is>
          <t>https://startup.proinnovate.gob.pe/concursos/emprendimientosdinamicos/</t>
        </is>
      </c>
      <c r="G13" s="28" t="inlineStr">
        <is>
          <t>No aplica</t>
        </is>
      </c>
    </row>
    <row r="14" ht="58" customHeight="1">
      <c r="A14" s="21" t="inlineStr">
        <is>
          <t>Red</t>
        </is>
      </c>
      <c r="B14" s="21" t="inlineStr">
        <is>
          <t>Endeavor Perú</t>
        </is>
      </c>
      <c r="C14" s="21" t="inlineStr">
        <is>
          <t>Red de emprendedores de alto impacto. Experiencia Endeavor dentro de Tech Week.</t>
        </is>
      </c>
      <c r="D14" s="21" t="inlineStr">
        <is>
          <t>Solo el evento abierto de Tech Week.</t>
        </is>
      </c>
      <c r="E14" s="22" t="n">
        <v>6</v>
      </c>
      <c r="F14" s="21" t="inlineStr">
        <is>
          <t>https://endeavor.org.pe/</t>
        </is>
      </c>
      <c r="G14" s="28" t="inlineStr">
        <is>
          <t>Pendiente</t>
        </is>
      </c>
    </row>
    <row r="15" ht="58" customHeight="1">
      <c r="A15" s="21" t="inlineStr">
        <is>
          <t>Red</t>
        </is>
      </c>
      <c r="B15" s="21" t="inlineStr">
        <is>
          <t>PECAP (Asoc. Peruana de Capital Semilla y Emprendedor)</t>
        </is>
      </c>
      <c r="C15" s="21" t="inlineStr">
        <is>
          <t>Organiza Tech Week. Lista de fondos y ángeles peruanos.</t>
        </is>
      </c>
      <c r="D15" s="21" t="inlineStr">
        <is>
          <t>Seguir en LinkedIn; no pedir reuniones hasta tener número.</t>
        </is>
      </c>
      <c r="E15" s="22" t="n">
        <v>6</v>
      </c>
      <c r="F15" s="21" t="inlineStr">
        <is>
          <t>https://pecap.pe/</t>
        </is>
      </c>
      <c r="G15" s="28" t="inlineStr">
        <is>
          <t>Pendiente</t>
        </is>
      </c>
    </row>
    <row r="16" ht="58" customHeight="1">
      <c r="A16" s="21" t="inlineStr">
        <is>
          <t>Medio</t>
        </is>
      </c>
      <c r="B16" s="21" t="inlineStr">
        <is>
          <t>Gestión · sección Emprende</t>
        </is>
      </c>
      <c r="C16" s="21" t="inlineStr">
        <is>
          <t>Diario económico peruano. Cubre startups peruanas con historia.</t>
        </is>
      </c>
      <c r="D16" s="21" t="inlineStr">
        <is>
          <t>Pitch en S8–9: 'manuales de marcas chinas que ningún proveedor tiene'.</t>
        </is>
      </c>
      <c r="E16" s="22" t="n">
        <v>8</v>
      </c>
      <c r="F16" s="21" t="inlineStr">
        <is>
          <t>gestion.pe</t>
        </is>
      </c>
      <c r="G16" s="28" t="inlineStr">
        <is>
          <t>Pendiente</t>
        </is>
      </c>
    </row>
    <row r="17" ht="58" customHeight="1">
      <c r="A17" s="21" t="inlineStr">
        <is>
          <t>Medio</t>
        </is>
      </c>
      <c r="B17" s="21" t="inlineStr">
        <is>
          <t>PQS (Portal del emprendedor)</t>
        </is>
      </c>
      <c r="C17" s="21" t="inlineStr">
        <is>
          <t>Portal de emprendimiento peruano. Publica convocatorias y notas.</t>
        </is>
      </c>
      <c r="D17" s="21" t="inlineStr">
        <is>
          <t>Nota de lanzamiento en S8.</t>
        </is>
      </c>
      <c r="E17" s="22" t="n">
        <v>8</v>
      </c>
      <c r="F17" s="21" t="inlineStr">
        <is>
          <t>https://pqs.pe/</t>
        </is>
      </c>
      <c r="G17" s="28" t="inlineStr">
        <is>
          <t>Pendiente</t>
        </is>
      </c>
    </row>
    <row r="18" ht="58" customHeight="1">
      <c r="A18" s="21" t="inlineStr">
        <is>
          <t>Medio</t>
        </is>
      </c>
      <c r="B18" s="21" t="inlineStr">
        <is>
          <t>El Ecosistema Startup</t>
        </is>
      </c>
      <c r="C18" s="21" t="inlineStr">
        <is>
          <t>Blog que cubre convocatorias y startups en Perú.</t>
        </is>
      </c>
      <c r="D18" s="21" t="inlineStr">
        <is>
          <t>Nota de lanzamiento en S8.</t>
        </is>
      </c>
      <c r="E18" s="22" t="n">
        <v>8</v>
      </c>
      <c r="F18" s="21" t="inlineStr">
        <is>
          <t>https://ecosistemastartup.com/</t>
        </is>
      </c>
      <c r="G18" s="28" t="inlineStr">
        <is>
          <t>Pendiente</t>
        </is>
      </c>
    </row>
    <row r="19" ht="58" customHeight="1">
      <c r="A19" s="21" t="inlineStr">
        <is>
          <t>Medio</t>
        </is>
      </c>
      <c r="B19" s="21" t="inlineStr">
        <is>
          <t>Trome · Emprende Trome / Sudaca · Emprende</t>
        </is>
      </c>
      <c r="C19" s="21" t="inlineStr">
        <is>
          <t>Cobertura masiva y de ecosistema respectivamente.</t>
        </is>
      </c>
      <c r="D19" s="21" t="inlineStr">
        <is>
          <t>Pitch en S9 con el primer usuario que pagó (historia humana).</t>
        </is>
      </c>
      <c r="E19" s="22" t="n">
        <v>9</v>
      </c>
      <c r="F19" s="21" t="inlineStr">
        <is>
          <t>trome.com · sudaca.pe</t>
        </is>
      </c>
      <c r="G19" s="28" t="inlineStr">
        <is>
          <t>Pendiente</t>
        </is>
      </c>
    </row>
    <row r="20" ht="58" customHeight="1">
      <c r="A20" s="21" t="inlineStr">
        <is>
          <t>Global</t>
        </is>
      </c>
      <c r="B20" s="21" t="inlineStr">
        <is>
          <t>Product Hunt</t>
        </is>
      </c>
      <c r="C20" s="21" t="inlineStr">
        <is>
          <t>Lanzamiento global. Público no peruano: poco valor directo, algo de señal para incubadoras.</t>
        </is>
      </c>
      <c r="D20" s="21" t="inlineStr">
        <is>
          <t>Opcional en S9. Solo si sobra un día. No es prioridad.</t>
        </is>
      </c>
      <c r="E20" s="22" t="n">
        <v>9</v>
      </c>
      <c r="F20" s="21" t="inlineStr">
        <is>
          <t>https://www.producthunt.com/</t>
        </is>
      </c>
      <c r="G20" s="28" t="inlineStr">
        <is>
          <t>Opcional</t>
        </is>
      </c>
    </row>
    <row r="21" ht="58" customHeight="1">
      <c r="A21" s="21" t="inlineStr">
        <is>
          <t>Global</t>
        </is>
      </c>
      <c r="B21" s="21" t="inlineStr">
        <is>
          <t>Reddit r/PERU · r/peru_autos (si existe)</t>
        </is>
      </c>
      <c r="C21" s="21" t="inlineStr">
        <is>
          <t>Hilo honesto: 'hice una app que convierte el manual en plan, busco 10 dueños de primer auto'.</t>
        </is>
      </c>
      <c r="D21" s="21" t="inlineStr">
        <is>
          <t>1 post en S4 (testers) y 1 en S8 (lanzamiento).</t>
        </is>
      </c>
      <c r="E21" s="22" t="n">
        <v>4</v>
      </c>
      <c r="F21" s="21" t="inlineStr">
        <is>
          <t>reddit.com/r/PERU</t>
        </is>
      </c>
      <c r="G21" s="28" t="inlineStr">
        <is>
          <t>Pendiente</t>
        </is>
      </c>
    </row>
    <row r="22" ht="58" customHeight="1">
      <c r="A22" s="21" t="inlineStr">
        <is>
          <t>Talleres/Concesionarios</t>
        </is>
      </c>
      <c r="B22" s="21" t="inlineStr">
        <is>
          <t>Concesionarios de Changan, Chery, JAC (Lima)</t>
        </is>
      </c>
      <c r="C22" s="21" t="inlineStr">
        <is>
          <t>Venden a compradores de primer auto. Su manual es el que nadie tiene.</t>
        </is>
      </c>
      <c r="D22" s="21" t="inlineStr">
        <is>
          <t>Contactar a 3 en Tech Week o por LinkedIn en S9: entregar el plan al comprador con el auto.</t>
        </is>
      </c>
      <c r="E22" s="22" t="n">
        <v>9</v>
      </c>
      <c r="F22" s="21" t="inlineStr">
        <is>
          <t>LinkedIn / visita</t>
        </is>
      </c>
      <c r="G22" s="28" t="inlineStr">
        <is>
          <t>Pendiente</t>
        </is>
      </c>
    </row>
  </sheetData>
  <pageMargins left="0.75" right="0.75" top="1" bottom="1" header="0.5" footer="0.5"/>
  <pageSetup orientation="landscape" fitToWidth="1"/>
</worksheet>
</file>

<file path=xl/worksheets/sheet6.xml><?xml version="1.0" encoding="utf-8"?>
<worksheet xmlns="http://schemas.openxmlformats.org/spreadsheetml/2006/main">
  <sheetPr>
    <outlinePr summaryBelow="1" summaryRight="1"/>
    <pageSetUpPr fitToPage="1"/>
  </sheetPr>
  <dimension ref="A1:K56"/>
  <sheetViews>
    <sheetView workbookViewId="0">
      <selection activeCell="A1" sqref="A1"/>
    </sheetView>
  </sheetViews>
  <sheetFormatPr baseColWidth="8" defaultRowHeight="15"/>
  <cols>
    <col width="5" customWidth="1" min="1" max="1"/>
    <col width="7" customWidth="1" min="2" max="2"/>
    <col width="10" customWidth="1" min="3" max="3"/>
    <col width="20" customWidth="1" min="4" max="4"/>
    <col width="28" customWidth="1" min="5" max="5"/>
    <col width="12" customWidth="1" min="6" max="6"/>
    <col width="20" customWidth="1" min="7" max="7"/>
    <col width="12" customWidth="1" min="8" max="8"/>
    <col width="40" customWidth="1" min="9" max="9"/>
    <col width="34" customWidth="1" min="10" max="10"/>
    <col width="12" customWidth="1" min="11" max="11"/>
  </cols>
  <sheetData>
    <row r="1">
      <c r="A1" s="1" t="inlineStr">
        <is>
          <t>Entrevistas de usuario</t>
        </is>
      </c>
    </row>
    <row r="2">
      <c r="A2" s="2" t="inlineStr">
        <is>
          <t>Ronda 1 (S1–2): problema. Ronda 2 (S5–6): uso con TestFlight/APK. Ronda 3 (S11–12): pago y churn. Llena el tracker; los porcentajes se calculan solos.</t>
        </is>
      </c>
    </row>
    <row r="4">
      <c r="A4" s="29" t="inlineStr">
        <is>
          <t>Guion · Ronda 1 (20–30 min, no vendas nada, no muestres la app)</t>
        </is>
      </c>
    </row>
    <row r="5">
      <c r="A5" s="4" t="inlineStr">
        <is>
          <t>1. Cuéntame de tu auto: qué es, año, cuántos km, cuándo lo compraste, nuevo o usado.</t>
        </is>
      </c>
    </row>
    <row r="6">
      <c r="A6" s="4" t="inlineStr">
        <is>
          <t>2. ¿Tienes el manual del propietario? ¿En papel, PDF, ninguno? Si PDF: ¿de dónde lo sacaste? (LA pregunta)</t>
        </is>
      </c>
    </row>
    <row r="7">
      <c r="A7" s="4" t="inlineStr">
        <is>
          <t>3. La última vez que le hiciste algo al auto: ¿qué fue, quién decidió que tocaba, cuánto pagaste?</t>
        </is>
      </c>
    </row>
    <row r="8">
      <c r="A8" s="4" t="inlineStr">
        <is>
          <t>4. ¿Cómo sabes cuándo le toca algo? (esperar a que suene / el mecánico / calendario / no sé)</t>
        </is>
      </c>
    </row>
    <row r="9">
      <c r="A9" s="4" t="inlineStr">
        <is>
          <t>5. ¿Alguna vez sentiste que te cobraron de más? ¿Qué hiciste?</t>
        </is>
      </c>
    </row>
    <row r="10">
      <c r="A10" s="4" t="inlineStr">
        <is>
          <t>6. ¿Sabes cuántos km tiene hoy tu auto sin mirar? (mide si el km está en la cabeza)</t>
        </is>
      </c>
    </row>
    <row r="11">
      <c r="A11" s="4" t="inlineStr">
        <is>
          <t>7. ¿Qué apps usas para el auto hoy? ¿Pagas por alguna?</t>
        </is>
      </c>
    </row>
    <row r="12">
      <c r="A12" s="4" t="inlineStr">
        <is>
          <t>8. Si algo te dijera exactamente qué toca y cuánto debería costar, ¿cuánto pagarías al mes? (anclar: nada / S/5 / S/15 / S/30)</t>
        </is>
      </c>
    </row>
    <row r="13">
      <c r="A13" s="4" t="inlineStr">
        <is>
          <t>9. ¿Me pasas el PDF del manual ahora por WhatsApp? (si lo tiene, lo hace; si no lo hace, no lo tiene)</t>
        </is>
      </c>
    </row>
    <row r="14">
      <c r="A14" s="4" t="inlineStr">
        <is>
          <t>10. ¿Conoces a 2 personas más con su primer auto? (bola de nieve)</t>
        </is>
      </c>
    </row>
    <row r="16" ht="32" customHeight="1">
      <c r="A16" s="30" t="inlineStr">
        <is>
          <t>Guion · Ronda 2 (uso, 30 min): 'Sube tu manual y dime qué le toca a tu auto'. No ayudes. Anota cada vez que se detiene &gt;5 s. Al final: ¿pagarías S/14,90 al mes por esto? ¿Por qué no?</t>
        </is>
      </c>
    </row>
    <row r="17" ht="32" customHeight="1">
      <c r="A17" s="30" t="inlineStr">
        <is>
          <t>Guion · Ronda 3 (pago/churn, 15 min): ¿Qué viste el día que se bloqueó? ¿Qué pensaste? Si pagaste: qué te convenció. Si no: qué hubiera hecho que pagues (precio, anual, más días, menos bloqueo). ¿Sigues usando otra cosa?</t>
        </is>
      </c>
    </row>
    <row r="19">
      <c r="A19" s="5" t="inlineStr">
        <is>
          <t>Tracker</t>
        </is>
      </c>
    </row>
    <row r="20" ht="30" customHeight="1">
      <c r="A20" s="10" t="inlineStr">
        <is>
          <t>#</t>
        </is>
      </c>
      <c r="B20" s="10" t="inlineStr">
        <is>
          <t>Ronda</t>
        </is>
      </c>
      <c r="C20" s="10" t="inlineStr">
        <is>
          <t>Fecha</t>
        </is>
      </c>
      <c r="D20" s="10" t="inlineStr">
        <is>
          <t>Nombre / alias</t>
        </is>
      </c>
      <c r="E20" s="10" t="inlineStr">
        <is>
          <t>Auto (modelo, año, km)</t>
        </is>
      </c>
      <c r="F20" s="10" t="inlineStr">
        <is>
          <t>¿Tiene PDF? (Sí/No)</t>
        </is>
      </c>
      <c r="G20" s="10" t="inlineStr">
        <is>
          <t>Fuente del PDF</t>
        </is>
      </c>
      <c r="H20" s="10" t="inlineStr">
        <is>
          <t>Pagaría S/ al mes</t>
        </is>
      </c>
      <c r="I20" s="10" t="inlineStr">
        <is>
          <t>Cita textual clave</t>
        </is>
      </c>
      <c r="J20" s="10" t="inlineStr">
        <is>
          <t>Fricción / hallazgo</t>
        </is>
      </c>
      <c r="K20" s="10" t="inlineStr">
        <is>
          <t>Aceptó ronda 2</t>
        </is>
      </c>
    </row>
    <row r="21">
      <c r="A21" s="31" t="n">
        <v>1</v>
      </c>
      <c r="B21" s="31" t="n">
        <v>1</v>
      </c>
      <c r="C21" s="32" t="n">
        <v>46274</v>
      </c>
      <c r="D21" s="31" t="inlineStr">
        <is>
          <t>EJEMPLO · Diego</t>
        </is>
      </c>
      <c r="E21" s="31" t="inlineStr">
        <is>
          <t>Kia Rio 2016, 92.000 km, usado</t>
        </is>
      </c>
      <c r="F21" s="31" t="inlineStr">
        <is>
          <t>Sí</t>
        </is>
      </c>
      <c r="G21" s="31" t="inlineStr">
        <is>
          <t>Página de Kia Perú</t>
        </is>
      </c>
      <c r="H21" s="31" t="n">
        <v>15</v>
      </c>
      <c r="I21" s="31" t="inlineStr">
        <is>
          <t>'No sé si el cambio de aceite era a los 5 o 10 mil'</t>
        </is>
      </c>
      <c r="J21" s="31" t="inlineStr">
        <is>
          <t>No sabe su km sin mirar</t>
        </is>
      </c>
      <c r="K21" s="31" t="inlineStr">
        <is>
          <t>Sí</t>
        </is>
      </c>
    </row>
    <row r="22">
      <c r="A22" s="33" t="n">
        <v>2</v>
      </c>
      <c r="B22" s="33" t="n"/>
      <c r="C22" s="34" t="n"/>
      <c r="D22" s="33" t="n"/>
      <c r="E22" s="33" t="n"/>
      <c r="F22" s="33" t="n"/>
      <c r="G22" s="33" t="n"/>
      <c r="H22" s="33" t="n"/>
      <c r="I22" s="33" t="n"/>
      <c r="J22" s="33" t="n"/>
      <c r="K22" s="33" t="n"/>
    </row>
    <row r="23">
      <c r="A23" s="33" t="n">
        <v>3</v>
      </c>
      <c r="B23" s="33" t="n"/>
      <c r="C23" s="34" t="n"/>
      <c r="D23" s="33" t="n"/>
      <c r="E23" s="33" t="n"/>
      <c r="F23" s="33" t="n"/>
      <c r="G23" s="33" t="n"/>
      <c r="H23" s="33" t="n"/>
      <c r="I23" s="33" t="n"/>
      <c r="J23" s="33" t="n"/>
      <c r="K23" s="33" t="n"/>
    </row>
    <row r="24">
      <c r="A24" s="33" t="n">
        <v>4</v>
      </c>
      <c r="B24" s="33" t="n"/>
      <c r="C24" s="34" t="n"/>
      <c r="D24" s="33" t="n"/>
      <c r="E24" s="33" t="n"/>
      <c r="F24" s="33" t="n"/>
      <c r="G24" s="33" t="n"/>
      <c r="H24" s="33" t="n"/>
      <c r="I24" s="33" t="n"/>
      <c r="J24" s="33" t="n"/>
      <c r="K24" s="33" t="n"/>
    </row>
    <row r="25">
      <c r="A25" s="33" t="n">
        <v>5</v>
      </c>
      <c r="B25" s="33" t="n"/>
      <c r="C25" s="34" t="n"/>
      <c r="D25" s="33" t="n"/>
      <c r="E25" s="33" t="n"/>
      <c r="F25" s="33" t="n"/>
      <c r="G25" s="33" t="n"/>
      <c r="H25" s="33" t="n"/>
      <c r="I25" s="33" t="n"/>
      <c r="J25" s="33" t="n"/>
      <c r="K25" s="33" t="n"/>
    </row>
    <row r="26">
      <c r="A26" s="33" t="n">
        <v>6</v>
      </c>
      <c r="B26" s="33" t="n"/>
      <c r="C26" s="34" t="n"/>
      <c r="D26" s="33" t="n"/>
      <c r="E26" s="33" t="n"/>
      <c r="F26" s="33" t="n"/>
      <c r="G26" s="33" t="n"/>
      <c r="H26" s="33" t="n"/>
      <c r="I26" s="33" t="n"/>
      <c r="J26" s="33" t="n"/>
      <c r="K26" s="33" t="n"/>
    </row>
    <row r="27">
      <c r="A27" s="33" t="n">
        <v>7</v>
      </c>
      <c r="B27" s="33" t="n"/>
      <c r="C27" s="34" t="n"/>
      <c r="D27" s="33" t="n"/>
      <c r="E27" s="33" t="n"/>
      <c r="F27" s="33" t="n"/>
      <c r="G27" s="33" t="n"/>
      <c r="H27" s="33" t="n"/>
      <c r="I27" s="33" t="n"/>
      <c r="J27" s="33" t="n"/>
      <c r="K27" s="33" t="n"/>
    </row>
    <row r="28">
      <c r="A28" s="33" t="n">
        <v>8</v>
      </c>
      <c r="B28" s="33" t="n"/>
      <c r="C28" s="34" t="n"/>
      <c r="D28" s="33" t="n"/>
      <c r="E28" s="33" t="n"/>
      <c r="F28" s="33" t="n"/>
      <c r="G28" s="33" t="n"/>
      <c r="H28" s="33" t="n"/>
      <c r="I28" s="33" t="n"/>
      <c r="J28" s="33" t="n"/>
      <c r="K28" s="33" t="n"/>
    </row>
    <row r="29">
      <c r="A29" s="33" t="n">
        <v>9</v>
      </c>
      <c r="B29" s="33" t="n"/>
      <c r="C29" s="34" t="n"/>
      <c r="D29" s="33" t="n"/>
      <c r="E29" s="33" t="n"/>
      <c r="F29" s="33" t="n"/>
      <c r="G29" s="33" t="n"/>
      <c r="H29" s="33" t="n"/>
      <c r="I29" s="33" t="n"/>
      <c r="J29" s="33" t="n"/>
      <c r="K29" s="33" t="n"/>
    </row>
    <row r="30">
      <c r="A30" s="33" t="n">
        <v>10</v>
      </c>
      <c r="B30" s="33" t="n"/>
      <c r="C30" s="34" t="n"/>
      <c r="D30" s="33" t="n"/>
      <c r="E30" s="33" t="n"/>
      <c r="F30" s="33" t="n"/>
      <c r="G30" s="33" t="n"/>
      <c r="H30" s="33" t="n"/>
      <c r="I30" s="33" t="n"/>
      <c r="J30" s="33" t="n"/>
      <c r="K30" s="33" t="n"/>
    </row>
    <row r="31">
      <c r="A31" s="33" t="n">
        <v>11</v>
      </c>
      <c r="B31" s="33" t="n"/>
      <c r="C31" s="34" t="n"/>
      <c r="D31" s="33" t="n"/>
      <c r="E31" s="33" t="n"/>
      <c r="F31" s="33" t="n"/>
      <c r="G31" s="33" t="n"/>
      <c r="H31" s="33" t="n"/>
      <c r="I31" s="33" t="n"/>
      <c r="J31" s="33" t="n"/>
      <c r="K31" s="33" t="n"/>
    </row>
    <row r="32">
      <c r="A32" s="33" t="n">
        <v>12</v>
      </c>
      <c r="B32" s="33" t="n"/>
      <c r="C32" s="34" t="n"/>
      <c r="D32" s="33" t="n"/>
      <c r="E32" s="33" t="n"/>
      <c r="F32" s="33" t="n"/>
      <c r="G32" s="33" t="n"/>
      <c r="H32" s="33" t="n"/>
      <c r="I32" s="33" t="n"/>
      <c r="J32" s="33" t="n"/>
      <c r="K32" s="33" t="n"/>
    </row>
    <row r="33">
      <c r="A33" s="33" t="n">
        <v>13</v>
      </c>
      <c r="B33" s="33" t="n"/>
      <c r="C33" s="34" t="n"/>
      <c r="D33" s="33" t="n"/>
      <c r="E33" s="33" t="n"/>
      <c r="F33" s="33" t="n"/>
      <c r="G33" s="33" t="n"/>
      <c r="H33" s="33" t="n"/>
      <c r="I33" s="33" t="n"/>
      <c r="J33" s="33" t="n"/>
      <c r="K33" s="33" t="n"/>
    </row>
    <row r="34">
      <c r="A34" s="33" t="n">
        <v>14</v>
      </c>
      <c r="B34" s="33" t="n"/>
      <c r="C34" s="34" t="n"/>
      <c r="D34" s="33" t="n"/>
      <c r="E34" s="33" t="n"/>
      <c r="F34" s="33" t="n"/>
      <c r="G34" s="33" t="n"/>
      <c r="H34" s="33" t="n"/>
      <c r="I34" s="33" t="n"/>
      <c r="J34" s="33" t="n"/>
      <c r="K34" s="33" t="n"/>
    </row>
    <row r="35">
      <c r="A35" s="33" t="n">
        <v>15</v>
      </c>
      <c r="B35" s="33" t="n"/>
      <c r="C35" s="34" t="n"/>
      <c r="D35" s="33" t="n"/>
      <c r="E35" s="33" t="n"/>
      <c r="F35" s="33" t="n"/>
      <c r="G35" s="33" t="n"/>
      <c r="H35" s="33" t="n"/>
      <c r="I35" s="33" t="n"/>
      <c r="J35" s="33" t="n"/>
      <c r="K35" s="33" t="n"/>
    </row>
    <row r="36">
      <c r="A36" s="33" t="n">
        <v>16</v>
      </c>
      <c r="B36" s="33" t="n"/>
      <c r="C36" s="34" t="n"/>
      <c r="D36" s="33" t="n"/>
      <c r="E36" s="33" t="n"/>
      <c r="F36" s="33" t="n"/>
      <c r="G36" s="33" t="n"/>
      <c r="H36" s="33" t="n"/>
      <c r="I36" s="33" t="n"/>
      <c r="J36" s="33" t="n"/>
      <c r="K36" s="33" t="n"/>
    </row>
    <row r="37">
      <c r="A37" s="33" t="n">
        <v>17</v>
      </c>
      <c r="B37" s="33" t="n"/>
      <c r="C37" s="34" t="n"/>
      <c r="D37" s="33" t="n"/>
      <c r="E37" s="33" t="n"/>
      <c r="F37" s="33" t="n"/>
      <c r="G37" s="33" t="n"/>
      <c r="H37" s="33" t="n"/>
      <c r="I37" s="33" t="n"/>
      <c r="J37" s="33" t="n"/>
      <c r="K37" s="33" t="n"/>
    </row>
    <row r="38">
      <c r="A38" s="33" t="n">
        <v>18</v>
      </c>
      <c r="B38" s="33" t="n"/>
      <c r="C38" s="34" t="n"/>
      <c r="D38" s="33" t="n"/>
      <c r="E38" s="33" t="n"/>
      <c r="F38" s="33" t="n"/>
      <c r="G38" s="33" t="n"/>
      <c r="H38" s="33" t="n"/>
      <c r="I38" s="33" t="n"/>
      <c r="J38" s="33" t="n"/>
      <c r="K38" s="33" t="n"/>
    </row>
    <row r="39">
      <c r="A39" s="33" t="n">
        <v>19</v>
      </c>
      <c r="B39" s="33" t="n"/>
      <c r="C39" s="34" t="n"/>
      <c r="D39" s="33" t="n"/>
      <c r="E39" s="33" t="n"/>
      <c r="F39" s="33" t="n"/>
      <c r="G39" s="33" t="n"/>
      <c r="H39" s="33" t="n"/>
      <c r="I39" s="33" t="n"/>
      <c r="J39" s="33" t="n"/>
      <c r="K39" s="33" t="n"/>
    </row>
    <row r="40">
      <c r="A40" s="33" t="n">
        <v>20</v>
      </c>
      <c r="B40" s="33" t="n"/>
      <c r="C40" s="34" t="n"/>
      <c r="D40" s="33" t="n"/>
      <c r="E40" s="33" t="n"/>
      <c r="F40" s="33" t="n"/>
      <c r="G40" s="33" t="n"/>
      <c r="H40" s="33" t="n"/>
      <c r="I40" s="33" t="n"/>
      <c r="J40" s="33" t="n"/>
      <c r="K40" s="33" t="n"/>
    </row>
    <row r="41">
      <c r="A41" s="33" t="n">
        <v>21</v>
      </c>
      <c r="B41" s="33" t="n"/>
      <c r="C41" s="34" t="n"/>
      <c r="D41" s="33" t="n"/>
      <c r="E41" s="33" t="n"/>
      <c r="F41" s="33" t="n"/>
      <c r="G41" s="33" t="n"/>
      <c r="H41" s="33" t="n"/>
      <c r="I41" s="33" t="n"/>
      <c r="J41" s="33" t="n"/>
      <c r="K41" s="33" t="n"/>
    </row>
    <row r="42">
      <c r="A42" s="33" t="n">
        <v>22</v>
      </c>
      <c r="B42" s="33" t="n"/>
      <c r="C42" s="34" t="n"/>
      <c r="D42" s="33" t="n"/>
      <c r="E42" s="33" t="n"/>
      <c r="F42" s="33" t="n"/>
      <c r="G42" s="33" t="n"/>
      <c r="H42" s="33" t="n"/>
      <c r="I42" s="33" t="n"/>
      <c r="J42" s="33" t="n"/>
      <c r="K42" s="33" t="n"/>
    </row>
    <row r="43">
      <c r="A43" s="33" t="n">
        <v>23</v>
      </c>
      <c r="B43" s="33" t="n"/>
      <c r="C43" s="34" t="n"/>
      <c r="D43" s="33" t="n"/>
      <c r="E43" s="33" t="n"/>
      <c r="F43" s="33" t="n"/>
      <c r="G43" s="33" t="n"/>
      <c r="H43" s="33" t="n"/>
      <c r="I43" s="33" t="n"/>
      <c r="J43" s="33" t="n"/>
      <c r="K43" s="33" t="n"/>
    </row>
    <row r="44">
      <c r="A44" s="33" t="n">
        <v>24</v>
      </c>
      <c r="B44" s="33" t="n"/>
      <c r="C44" s="34" t="n"/>
      <c r="D44" s="33" t="n"/>
      <c r="E44" s="33" t="n"/>
      <c r="F44" s="33" t="n"/>
      <c r="G44" s="33" t="n"/>
      <c r="H44" s="33" t="n"/>
      <c r="I44" s="33" t="n"/>
      <c r="J44" s="33" t="n"/>
      <c r="K44" s="33" t="n"/>
    </row>
    <row r="45">
      <c r="A45" s="33" t="n">
        <v>25</v>
      </c>
      <c r="B45" s="33" t="n"/>
      <c r="C45" s="34" t="n"/>
      <c r="D45" s="33" t="n"/>
      <c r="E45" s="33" t="n"/>
      <c r="F45" s="33" t="n"/>
      <c r="G45" s="33" t="n"/>
      <c r="H45" s="33" t="n"/>
      <c r="I45" s="33" t="n"/>
      <c r="J45" s="33" t="n"/>
      <c r="K45" s="33" t="n"/>
    </row>
    <row r="46">
      <c r="A46" s="33" t="n">
        <v>26</v>
      </c>
      <c r="B46" s="33" t="n"/>
      <c r="C46" s="34" t="n"/>
      <c r="D46" s="33" t="n"/>
      <c r="E46" s="33" t="n"/>
      <c r="F46" s="33" t="n"/>
      <c r="G46" s="33" t="n"/>
      <c r="H46" s="33" t="n"/>
      <c r="I46" s="33" t="n"/>
      <c r="J46" s="33" t="n"/>
      <c r="K46" s="33" t="n"/>
    </row>
    <row r="47">
      <c r="A47" s="33" t="n">
        <v>27</v>
      </c>
      <c r="B47" s="33" t="n"/>
      <c r="C47" s="34" t="n"/>
      <c r="D47" s="33" t="n"/>
      <c r="E47" s="33" t="n"/>
      <c r="F47" s="33" t="n"/>
      <c r="G47" s="33" t="n"/>
      <c r="H47" s="33" t="n"/>
      <c r="I47" s="33" t="n"/>
      <c r="J47" s="33" t="n"/>
      <c r="K47" s="33" t="n"/>
    </row>
    <row r="49">
      <c r="A49" s="5" t="inlineStr">
        <is>
          <t>Resumen</t>
        </is>
      </c>
    </row>
    <row r="50">
      <c r="A50" s="3" t="inlineStr">
        <is>
          <t>Entrevistas hechas</t>
        </is>
      </c>
      <c r="D50" s="3">
        <f>COUNTA(D21:D47)</f>
        <v/>
      </c>
    </row>
    <row r="51">
      <c r="A51" s="3" t="inlineStr">
        <is>
          <t>Tienen el PDF</t>
        </is>
      </c>
      <c r="D51" s="3">
        <f>COUNTIF(F21:F47,"Sí")</f>
        <v/>
      </c>
    </row>
    <row r="52">
      <c r="A52" s="3" t="inlineStr">
        <is>
          <t>% que tiene el PDF</t>
        </is>
      </c>
      <c r="D52" s="35">
        <f>IF(COUNTA(F21:F47)=0,0,COUNTIF(F21:F47,"Sí")/COUNTA(F21:F47))</f>
        <v/>
      </c>
    </row>
    <row r="53">
      <c r="A53" s="3" t="inlineStr">
        <is>
          <t>Pagarían ≥ S/15 (n)</t>
        </is>
      </c>
      <c r="D53" s="3">
        <f>COUNTIF(H21:H47,"&gt;=15")</f>
        <v/>
      </c>
    </row>
    <row r="54">
      <c r="A54" s="3" t="inlineStr">
        <is>
          <t>Promedio que pagarían (S/)</t>
        </is>
      </c>
      <c r="D54" s="25">
        <f>IFERROR(AVERAGE(H21:H47),0)</f>
        <v/>
      </c>
    </row>
    <row r="55">
      <c r="A55" s="3" t="inlineStr">
        <is>
          <t>Decisión P08 (precarga)</t>
        </is>
      </c>
      <c r="D55" s="3">
        <f>IF(COUNTA(F21:F47)&lt;8,"Faltan entrevistas",IF(COUNTIF(F21:F47,"Sí")/COUNTA(F21:F47)&lt;0.5,"PRECARGAR modelos: la puerta principal es elegir modelo","Subir PDF puede ser la puerta principal"))</f>
        <v/>
      </c>
    </row>
    <row r="56">
      <c r="A56" s="20" t="inlineStr">
        <is>
          <t>Regla: si menos del 50% tiene el PDF, la precarga por modelo (P08) pasa de 'por si acaso' a puerta principal de v1.</t>
        </is>
      </c>
    </row>
  </sheetData>
  <mergeCells count="24">
    <mergeCell ref="A9:H9"/>
    <mergeCell ref="A11:H11"/>
    <mergeCell ref="A55:C55"/>
    <mergeCell ref="A50:C50"/>
    <mergeCell ref="A6:H6"/>
    <mergeCell ref="D52:H52"/>
    <mergeCell ref="A7:H7"/>
    <mergeCell ref="A16:H16"/>
    <mergeCell ref="A53:C53"/>
    <mergeCell ref="A52:C52"/>
    <mergeCell ref="A12:H12"/>
    <mergeCell ref="D53:H53"/>
    <mergeCell ref="A14:H14"/>
    <mergeCell ref="A5:H5"/>
    <mergeCell ref="A8:H8"/>
    <mergeCell ref="A51:C51"/>
    <mergeCell ref="A17:H17"/>
    <mergeCell ref="D55:H55"/>
    <mergeCell ref="A10:H10"/>
    <mergeCell ref="D51:H51"/>
    <mergeCell ref="A13:H13"/>
    <mergeCell ref="D54:H54"/>
    <mergeCell ref="D50:H50"/>
    <mergeCell ref="A54:C54"/>
  </mergeCells>
  <pageMargins left="0.75" right="0.75" top="1" bottom="1" header="0.5" footer="0.5"/>
  <pageSetup orientation="landscape" fitToWidth="1"/>
</worksheet>
</file>

<file path=xl/worksheets/sheet7.xml><?xml version="1.0" encoding="utf-8"?>
<worksheet xmlns="http://schemas.openxmlformats.org/spreadsheetml/2006/main">
  <sheetPr>
    <outlinePr summaryBelow="1" summaryRight="1"/>
    <pageSetUpPr fitToPage="1"/>
  </sheetPr>
  <dimension ref="A1:J42"/>
  <sheetViews>
    <sheetView workbookViewId="0">
      <selection activeCell="A1" sqref="A1"/>
    </sheetView>
  </sheetViews>
  <sheetFormatPr baseColWidth="8" defaultRowHeight="15"/>
  <cols>
    <col width="5" customWidth="1" min="1" max="1"/>
    <col width="8" customWidth="1" min="2" max="2"/>
    <col width="10" customWidth="1" min="3" max="3"/>
    <col width="26" customWidth="1" min="4" max="4"/>
    <col width="18" customWidth="1" min="5" max="5"/>
    <col width="18" customWidth="1" min="6" max="6"/>
    <col width="22" customWidth="1" min="7" max="7"/>
    <col width="14" customWidth="1" min="8" max="8"/>
    <col width="12" customWidth="1" min="9" max="9"/>
    <col width="44" customWidth="1" min="10" max="10"/>
  </cols>
  <sheetData>
    <row r="1">
      <c r="A1" s="1" t="inlineStr">
        <is>
          <t>Reuniones con talleres</t>
        </is>
      </c>
    </row>
    <row r="2">
      <c r="A2" s="2" t="inlineStr">
        <is>
          <t>Para qué: validar intervalos y precios habituales de los 10 modelos, y convertir 3 talleres en canal (QR en mostrador). 2 reuniones por semana, S4–S12.</t>
        </is>
      </c>
    </row>
    <row r="4">
      <c r="A4" s="3" t="inlineStr">
        <is>
          <t>Qué NO es esto: no vendes nada al taller, no cobras comisión, no prometes clientes. Vas a aprender y a que te conozcan.</t>
        </is>
      </c>
    </row>
    <row r="5">
      <c r="A5" s="29" t="inlineStr">
        <is>
          <t>Guion (30 min, en el taller, en hora muerta — martes/miércoles 10–11 am)</t>
        </is>
      </c>
    </row>
    <row r="6" ht="28" customHeight="1">
      <c r="A6" s="4" t="inlineStr">
        <is>
          <t>1. Presentación de 1 frase: 'Estoy haciendo una app que convierte el manual del auto en un plan de mantenimiento, para jóvenes con su primer auto. Quiero validar con quien sabe.'</t>
        </is>
      </c>
    </row>
    <row r="7" ht="28" customHeight="1">
      <c r="A7" s="4" t="inlineStr">
        <is>
          <t>2. ¿Qué modelos ves más en jóvenes / primer auto? (confirma la lista de 10)</t>
        </is>
      </c>
    </row>
    <row r="8" ht="28" customHeight="1">
      <c r="A8" s="4" t="inlineStr">
        <is>
          <t>3. Para &lt;modelo&gt;: ¿cada cuánto haces cambio de aceite, filtros, frenos, faja/cadena, refrigerante, bujías? ¿Cuánto cobras por cada uno con repuesto y sin repuesto? (tabla T03)</t>
        </is>
      </c>
    </row>
    <row r="9" ht="28" customHeight="1">
      <c r="A9" s="4" t="inlineStr">
        <is>
          <t>4. ¿En qué se diferencia lo que dice el manual de lo que tú recomiendas en Lima? ¿Por qué? (polvo, tráfico, combustible)</t>
        </is>
      </c>
    </row>
    <row r="10" ht="28" customHeight="1">
      <c r="A10" s="4" t="inlineStr">
        <is>
          <t>5. Muéstrale el plan de ese modelo en la app. ¿Qué está mal? ¿Qué falta?</t>
        </is>
      </c>
    </row>
    <row r="11" ht="28" customHeight="1">
      <c r="A11" s="4" t="inlineStr">
        <is>
          <t>6. ¿Qué pasa cuando un cliente llega con una lista de lo que quiere que le hagan? ¿Te sirve o te estorba?</t>
        </is>
      </c>
    </row>
    <row r="12" ht="28" customHeight="1">
      <c r="A12" s="4" t="inlineStr">
        <is>
          <t>7. Cierre: '¿Te molestaría que le diga a mis usuarios que aquí hacen esto bien?' Si dice que sí: sticker/QR en S9 (T04).</t>
        </is>
      </c>
    </row>
    <row r="13" ht="28" customHeight="1">
      <c r="A13" s="4" t="inlineStr">
        <is>
          <t>8. Pedir referido: 'qué otro taller respetas por aquí'.</t>
        </is>
      </c>
    </row>
    <row r="15">
      <c r="A15" s="5" t="inlineStr">
        <is>
          <t>Tracker</t>
        </is>
      </c>
    </row>
    <row r="16" ht="30" customHeight="1">
      <c r="A16" s="10" t="inlineStr">
        <is>
          <t>#</t>
        </is>
      </c>
      <c r="B16" s="10" t="inlineStr">
        <is>
          <t>Semana</t>
        </is>
      </c>
      <c r="C16" s="10" t="inlineStr">
        <is>
          <t>Fecha</t>
        </is>
      </c>
      <c r="D16" s="10" t="inlineStr">
        <is>
          <t>Taller</t>
        </is>
      </c>
      <c r="E16" s="10" t="inlineStr">
        <is>
          <t>Distrito</t>
        </is>
      </c>
      <c r="F16" s="10" t="inlineStr">
        <is>
          <t>Contacto / WhatsApp</t>
        </is>
      </c>
      <c r="G16" s="10" t="inlineStr">
        <is>
          <t>Marcas que atiende</t>
        </is>
      </c>
      <c r="H16" s="10" t="inlineStr">
        <is>
          <t>Precios validados (n servicios)</t>
        </is>
      </c>
      <c r="I16" s="10" t="inlineStr">
        <is>
          <t>Acepta QR (Sí/No)</t>
        </is>
      </c>
      <c r="J16" s="10" t="inlineStr">
        <is>
          <t>Notas</t>
        </is>
      </c>
    </row>
    <row r="17">
      <c r="A17" s="31" t="n">
        <v>1</v>
      </c>
      <c r="B17" s="31" t="n">
        <v>4</v>
      </c>
      <c r="C17" s="32" t="n">
        <v>46294</v>
      </c>
      <c r="D17" s="31" t="inlineStr">
        <is>
          <t>EJEMPLO · Taller Don Pepe</t>
        </is>
      </c>
      <c r="E17" s="31" t="inlineStr">
        <is>
          <t>San Juan de Lurigancho</t>
        </is>
      </c>
      <c r="F17" s="31" t="inlineStr">
        <is>
          <t>999 999 999</t>
        </is>
      </c>
      <c r="G17" s="31" t="inlineStr">
        <is>
          <t>Toyota, Kia, Hyundai</t>
        </is>
      </c>
      <c r="H17" s="31" t="n">
        <v>4</v>
      </c>
      <c r="I17" s="31" t="inlineStr">
        <is>
          <t>Sí</t>
        </is>
      </c>
      <c r="J17" s="31" t="inlineStr">
        <is>
          <t>Aceite cada 5.000 en Lima, no 10.000. Faja Accent: S/450–600.</t>
        </is>
      </c>
    </row>
    <row r="18">
      <c r="A18" s="33" t="n">
        <v>2</v>
      </c>
      <c r="B18" s="33" t="n"/>
      <c r="C18" s="34" t="n"/>
      <c r="D18" s="33" t="n"/>
      <c r="E18" s="33" t="n"/>
      <c r="F18" s="33" t="n"/>
      <c r="G18" s="33" t="n"/>
      <c r="H18" s="33" t="n"/>
      <c r="I18" s="33" t="n"/>
      <c r="J18" s="33" t="n"/>
    </row>
    <row r="19">
      <c r="A19" s="33" t="n">
        <v>3</v>
      </c>
      <c r="B19" s="33" t="n"/>
      <c r="C19" s="34" t="n"/>
      <c r="D19" s="33" t="n"/>
      <c r="E19" s="33" t="n"/>
      <c r="F19" s="33" t="n"/>
      <c r="G19" s="33" t="n"/>
      <c r="H19" s="33" t="n"/>
      <c r="I19" s="33" t="n"/>
      <c r="J19" s="33" t="n"/>
    </row>
    <row r="20">
      <c r="A20" s="33" t="n">
        <v>4</v>
      </c>
      <c r="B20" s="33" t="n"/>
      <c r="C20" s="34" t="n"/>
      <c r="D20" s="33" t="n"/>
      <c r="E20" s="33" t="n"/>
      <c r="F20" s="33" t="n"/>
      <c r="G20" s="33" t="n"/>
      <c r="H20" s="33" t="n"/>
      <c r="I20" s="33" t="n"/>
      <c r="J20" s="33" t="n"/>
    </row>
    <row r="21">
      <c r="A21" s="33" t="n">
        <v>5</v>
      </c>
      <c r="B21" s="33" t="n"/>
      <c r="C21" s="34" t="n"/>
      <c r="D21" s="33" t="n"/>
      <c r="E21" s="33" t="n"/>
      <c r="F21" s="33" t="n"/>
      <c r="G21" s="33" t="n"/>
      <c r="H21" s="33" t="n"/>
      <c r="I21" s="33" t="n"/>
      <c r="J21" s="33" t="n"/>
    </row>
    <row r="22">
      <c r="A22" s="33" t="n">
        <v>6</v>
      </c>
      <c r="B22" s="33" t="n"/>
      <c r="C22" s="34" t="n"/>
      <c r="D22" s="33" t="n"/>
      <c r="E22" s="33" t="n"/>
      <c r="F22" s="33" t="n"/>
      <c r="G22" s="33" t="n"/>
      <c r="H22" s="33" t="n"/>
      <c r="I22" s="33" t="n"/>
      <c r="J22" s="33" t="n"/>
    </row>
    <row r="23">
      <c r="A23" s="33" t="n">
        <v>7</v>
      </c>
      <c r="B23" s="33" t="n"/>
      <c r="C23" s="34" t="n"/>
      <c r="D23" s="33" t="n"/>
      <c r="E23" s="33" t="n"/>
      <c r="F23" s="33" t="n"/>
      <c r="G23" s="33" t="n"/>
      <c r="H23" s="33" t="n"/>
      <c r="I23" s="33" t="n"/>
      <c r="J23" s="33" t="n"/>
    </row>
    <row r="24">
      <c r="A24" s="33" t="n">
        <v>8</v>
      </c>
      <c r="B24" s="33" t="n"/>
      <c r="C24" s="34" t="n"/>
      <c r="D24" s="33" t="n"/>
      <c r="E24" s="33" t="n"/>
      <c r="F24" s="33" t="n"/>
      <c r="G24" s="33" t="n"/>
      <c r="H24" s="33" t="n"/>
      <c r="I24" s="33" t="n"/>
      <c r="J24" s="33" t="n"/>
    </row>
    <row r="25">
      <c r="A25" s="33" t="n">
        <v>9</v>
      </c>
      <c r="B25" s="33" t="n"/>
      <c r="C25" s="34" t="n"/>
      <c r="D25" s="33" t="n"/>
      <c r="E25" s="33" t="n"/>
      <c r="F25" s="33" t="n"/>
      <c r="G25" s="33" t="n"/>
      <c r="H25" s="33" t="n"/>
      <c r="I25" s="33" t="n"/>
      <c r="J25" s="33" t="n"/>
    </row>
    <row r="26">
      <c r="A26" s="33" t="n">
        <v>10</v>
      </c>
      <c r="B26" s="33" t="n"/>
      <c r="C26" s="34" t="n"/>
      <c r="D26" s="33" t="n"/>
      <c r="E26" s="33" t="n"/>
      <c r="F26" s="33" t="n"/>
      <c r="G26" s="33" t="n"/>
      <c r="H26" s="33" t="n"/>
      <c r="I26" s="33" t="n"/>
      <c r="J26" s="33" t="n"/>
    </row>
    <row r="27">
      <c r="A27" s="33" t="n">
        <v>11</v>
      </c>
      <c r="B27" s="33" t="n"/>
      <c r="C27" s="34" t="n"/>
      <c r="D27" s="33" t="n"/>
      <c r="E27" s="33" t="n"/>
      <c r="F27" s="33" t="n"/>
      <c r="G27" s="33" t="n"/>
      <c r="H27" s="33" t="n"/>
      <c r="I27" s="33" t="n"/>
      <c r="J27" s="33" t="n"/>
    </row>
    <row r="28">
      <c r="A28" s="33" t="n">
        <v>12</v>
      </c>
      <c r="B28" s="33" t="n"/>
      <c r="C28" s="34" t="n"/>
      <c r="D28" s="33" t="n"/>
      <c r="E28" s="33" t="n"/>
      <c r="F28" s="33" t="n"/>
      <c r="G28" s="33" t="n"/>
      <c r="H28" s="33" t="n"/>
      <c r="I28" s="33" t="n"/>
      <c r="J28" s="33" t="n"/>
    </row>
    <row r="29">
      <c r="A29" s="33" t="n">
        <v>13</v>
      </c>
      <c r="B29" s="33" t="n"/>
      <c r="C29" s="34" t="n"/>
      <c r="D29" s="33" t="n"/>
      <c r="E29" s="33" t="n"/>
      <c r="F29" s="33" t="n"/>
      <c r="G29" s="33" t="n"/>
      <c r="H29" s="33" t="n"/>
      <c r="I29" s="33" t="n"/>
      <c r="J29" s="33" t="n"/>
    </row>
    <row r="30">
      <c r="A30" s="33" t="n">
        <v>14</v>
      </c>
      <c r="B30" s="33" t="n"/>
      <c r="C30" s="34" t="n"/>
      <c r="D30" s="33" t="n"/>
      <c r="E30" s="33" t="n"/>
      <c r="F30" s="33" t="n"/>
      <c r="G30" s="33" t="n"/>
      <c r="H30" s="33" t="n"/>
      <c r="I30" s="33" t="n"/>
      <c r="J30" s="33" t="n"/>
    </row>
    <row r="31">
      <c r="A31" s="33" t="n">
        <v>15</v>
      </c>
      <c r="B31" s="33" t="n"/>
      <c r="C31" s="34" t="n"/>
      <c r="D31" s="33" t="n"/>
      <c r="E31" s="33" t="n"/>
      <c r="F31" s="33" t="n"/>
      <c r="G31" s="33" t="n"/>
      <c r="H31" s="33" t="n"/>
      <c r="I31" s="33" t="n"/>
      <c r="J31" s="33" t="n"/>
    </row>
    <row r="32">
      <c r="A32" s="33" t="n">
        <v>16</v>
      </c>
      <c r="B32" s="33" t="n"/>
      <c r="C32" s="34" t="n"/>
      <c r="D32" s="33" t="n"/>
      <c r="E32" s="33" t="n"/>
      <c r="F32" s="33" t="n"/>
      <c r="G32" s="33" t="n"/>
      <c r="H32" s="33" t="n"/>
      <c r="I32" s="33" t="n"/>
      <c r="J32" s="33" t="n"/>
    </row>
    <row r="33">
      <c r="A33" s="33" t="n">
        <v>17</v>
      </c>
      <c r="B33" s="33" t="n"/>
      <c r="C33" s="34" t="n"/>
      <c r="D33" s="33" t="n"/>
      <c r="E33" s="33" t="n"/>
      <c r="F33" s="33" t="n"/>
      <c r="G33" s="33" t="n"/>
      <c r="H33" s="33" t="n"/>
      <c r="I33" s="33" t="n"/>
      <c r="J33" s="33" t="n"/>
    </row>
    <row r="34">
      <c r="A34" s="33" t="n">
        <v>18</v>
      </c>
      <c r="B34" s="33" t="n"/>
      <c r="C34" s="34" t="n"/>
      <c r="D34" s="33" t="n"/>
      <c r="E34" s="33" t="n"/>
      <c r="F34" s="33" t="n"/>
      <c r="G34" s="33" t="n"/>
      <c r="H34" s="33" t="n"/>
      <c r="I34" s="33" t="n"/>
      <c r="J34" s="33" t="n"/>
    </row>
    <row r="35">
      <c r="A35" s="33" t="n">
        <v>19</v>
      </c>
      <c r="B35" s="33" t="n"/>
      <c r="C35" s="34" t="n"/>
      <c r="D35" s="33" t="n"/>
      <c r="E35" s="33" t="n"/>
      <c r="F35" s="33" t="n"/>
      <c r="G35" s="33" t="n"/>
      <c r="H35" s="33" t="n"/>
      <c r="I35" s="33" t="n"/>
      <c r="J35" s="33" t="n"/>
    </row>
    <row r="36">
      <c r="A36" s="33" t="n">
        <v>20</v>
      </c>
      <c r="B36" s="33" t="n"/>
      <c r="C36" s="34" t="n"/>
      <c r="D36" s="33" t="n"/>
      <c r="E36" s="33" t="n"/>
      <c r="F36" s="33" t="n"/>
      <c r="G36" s="33" t="n"/>
      <c r="H36" s="33" t="n"/>
      <c r="I36" s="33" t="n"/>
      <c r="J36" s="33" t="n"/>
    </row>
    <row r="37">
      <c r="A37" s="33" t="n">
        <v>21</v>
      </c>
      <c r="B37" s="33" t="n"/>
      <c r="C37" s="34" t="n"/>
      <c r="D37" s="33" t="n"/>
      <c r="E37" s="33" t="n"/>
      <c r="F37" s="33" t="n"/>
      <c r="G37" s="33" t="n"/>
      <c r="H37" s="33" t="n"/>
      <c r="I37" s="33" t="n"/>
      <c r="J37" s="33" t="n"/>
    </row>
    <row r="39">
      <c r="A39" s="3" t="inlineStr">
        <is>
          <t>Reuniones hechas</t>
        </is>
      </c>
      <c r="E39" s="24">
        <f>COUNTA(D17:D37)</f>
        <v/>
      </c>
    </row>
    <row r="40">
      <c r="A40" s="3" t="inlineStr">
        <is>
          <t>Servicios con precio validado</t>
        </is>
      </c>
      <c r="E40" s="24">
        <f>SUM(H17:H37)</f>
        <v/>
      </c>
    </row>
    <row r="41">
      <c r="A41" s="3" t="inlineStr">
        <is>
          <t>Talleres que aceptan QR</t>
        </is>
      </c>
      <c r="E41" s="24">
        <f>COUNTIF(I17:I37,"Sí")</f>
        <v/>
      </c>
    </row>
    <row r="42">
      <c r="A42" s="3" t="inlineStr">
        <is>
          <t>Meta T02 (≥10 talleres con ≥1 precio)</t>
        </is>
      </c>
      <c r="E42" s="36">
        <f>COUNTIF(H17:H37,"&gt;=1")&amp;" / 10"</f>
        <v/>
      </c>
    </row>
  </sheetData>
  <mergeCells count="13">
    <mergeCell ref="A40:D40"/>
    <mergeCell ref="A8:J8"/>
    <mergeCell ref="A42:D42"/>
    <mergeCell ref="A6:J6"/>
    <mergeCell ref="A9:J9"/>
    <mergeCell ref="A39:D39"/>
    <mergeCell ref="A12:J12"/>
    <mergeCell ref="A4:J4"/>
    <mergeCell ref="A7:J7"/>
    <mergeCell ref="A41:D41"/>
    <mergeCell ref="A10:J10"/>
    <mergeCell ref="A13:J13"/>
    <mergeCell ref="A11:J11"/>
  </mergeCells>
  <pageMargins left="0.75" right="0.75" top="1" bottom="1" header="0.5" footer="0.5"/>
  <pageSetup orientation="landscape" fitToWidth="1"/>
</worksheet>
</file>

<file path=xl/worksheets/sheet8.xml><?xml version="1.0" encoding="utf-8"?>
<worksheet xmlns="http://schemas.openxmlformats.org/spreadsheetml/2006/main">
  <sheetPr>
    <outlinePr summaryBelow="1" summaryRight="1"/>
    <pageSetUpPr fitToPage="1"/>
  </sheetPr>
  <dimension ref="A1:P27"/>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7" customWidth="1" min="1" max="1"/>
    <col width="9" customWidth="1" min="2" max="2"/>
    <col width="32" customWidth="1" min="3" max="3"/>
    <col width="30" customWidth="1" min="4" max="4"/>
    <col width="7" customWidth="1" min="5" max="5"/>
    <col width="7" customWidth="1" min="6" max="6"/>
    <col width="8" customWidth="1" min="7" max="7"/>
    <col width="8" customWidth="1" min="8" max="8"/>
    <col width="9" customWidth="1" min="9" max="9"/>
    <col width="9" customWidth="1" min="10" max="10"/>
    <col width="9" customWidth="1" min="11" max="11"/>
    <col width="7" customWidth="1" min="12" max="12"/>
    <col width="7" customWidth="1" min="13" max="13"/>
    <col width="10" customWidth="1" min="14" max="14"/>
    <col width="11" customWidth="1" min="15" max="15"/>
    <col width="10" customWidth="1" min="16" max="16"/>
  </cols>
  <sheetData>
    <row r="1">
      <c r="A1" s="1" t="inlineStr">
        <is>
          <t>Métricas semanales</t>
        </is>
      </c>
    </row>
    <row r="2">
      <c r="A2" s="2" t="inlineStr">
        <is>
          <t>Una pregunta por semana. Metas en azul (cámbialas si quieres); reales en amarillo (llénalos el viernes). Tasas por fórmula.</t>
        </is>
      </c>
    </row>
    <row r="4" ht="30" customHeight="1">
      <c r="A4" s="10" t="inlineStr">
        <is>
          <t>Semana</t>
        </is>
      </c>
      <c r="B4" s="10" t="inlineStr">
        <is>
          <t>Inicio</t>
        </is>
      </c>
      <c r="C4" s="10" t="inlineStr">
        <is>
          <t>Pregunta de la semana</t>
        </is>
      </c>
      <c r="D4" s="10" t="inlineStr">
        <is>
          <t>Métrica que manda</t>
        </is>
      </c>
      <c r="E4" s="10" t="inlineStr">
        <is>
          <t>Meta</t>
        </is>
      </c>
      <c r="F4" s="10" t="inlineStr">
        <is>
          <t>Real</t>
        </is>
      </c>
      <c r="G4" s="10" t="inlineStr">
        <is>
          <t>Instal.</t>
        </is>
      </c>
      <c r="H4" s="10" t="inlineStr">
        <is>
          <t>Placas</t>
        </is>
      </c>
      <c r="I4" s="10" t="inlineStr">
        <is>
          <t>Manuales</t>
        </is>
      </c>
      <c r="J4" s="10" t="inlineStr">
        <is>
          <t>Plan visto</t>
        </is>
      </c>
      <c r="K4" s="10" t="inlineStr">
        <is>
          <t>Km a 14d</t>
        </is>
      </c>
      <c r="L4" s="10" t="inlineStr">
        <is>
          <t>Trials</t>
        </is>
      </c>
      <c r="M4" s="10" t="inlineStr">
        <is>
          <t>Pagos</t>
        </is>
      </c>
      <c r="N4" s="10" t="inlineStr">
        <is>
          <t>Placa/Inst.</t>
        </is>
      </c>
      <c r="O4" s="10" t="inlineStr">
        <is>
          <t>Manual/Placa</t>
        </is>
      </c>
      <c r="P4" s="10" t="inlineStr">
        <is>
          <t>Pago/Trial</t>
        </is>
      </c>
    </row>
    <row r="5" ht="30" customHeight="1">
      <c r="A5" s="22" t="n">
        <v>1</v>
      </c>
      <c r="B5" s="37" t="n">
        <v>46272</v>
      </c>
      <c r="C5" s="21" t="inlineStr">
        <is>
          <t>¿Tienen el PDF?</t>
        </is>
      </c>
      <c r="D5" s="21" t="inlineStr">
        <is>
          <t>Entrevistas ronda 1</t>
        </is>
      </c>
      <c r="E5" s="22" t="n">
        <v>5</v>
      </c>
      <c r="F5" s="23" t="n"/>
      <c r="G5" s="38" t="n"/>
      <c r="H5" s="38" t="n"/>
      <c r="I5" s="38" t="n"/>
      <c r="J5" s="38" t="n"/>
      <c r="K5" s="38" t="n"/>
      <c r="L5" s="38" t="n"/>
      <c r="M5" s="38" t="n"/>
      <c r="N5" s="39">
        <f>IF(G5&gt;0,H5/G5,"")</f>
        <v/>
      </c>
      <c r="O5" s="39">
        <f>IF(H5&gt;0,I5/H5,"")</f>
        <v/>
      </c>
      <c r="P5" s="39">
        <f>IF(L5&gt;0,M5/L5,"")</f>
        <v/>
      </c>
    </row>
    <row r="6" ht="30" customHeight="1">
      <c r="A6" s="22" t="n">
        <v>2</v>
      </c>
      <c r="B6" s="37" t="n">
        <v>46279</v>
      </c>
      <c r="C6" s="21" t="inlineStr">
        <is>
          <t>¿Tienen el PDF? (cierre)</t>
        </is>
      </c>
      <c r="D6" s="21" t="inlineStr">
        <is>
          <t>Entrevistas ronda 1 acumuladas</t>
        </is>
      </c>
      <c r="E6" s="22" t="n">
        <v>10</v>
      </c>
      <c r="F6" s="23" t="n"/>
      <c r="G6" s="38" t="n"/>
      <c r="H6" s="38" t="n"/>
      <c r="I6" s="38" t="n"/>
      <c r="J6" s="38" t="n"/>
      <c r="K6" s="38" t="n"/>
      <c r="L6" s="38" t="n"/>
      <c r="M6" s="38" t="n"/>
      <c r="N6" s="39">
        <f>IF(G6&gt;0,H6/G6,"")</f>
        <v/>
      </c>
      <c r="O6" s="39">
        <f>IF(H6&gt;0,I6/H6,"")</f>
        <v/>
      </c>
      <c r="P6" s="39">
        <f>IF(L6&gt;0,M6/L6,"")</f>
        <v/>
      </c>
    </row>
    <row r="7" ht="30" customHeight="1">
      <c r="A7" s="22" t="n">
        <v>3</v>
      </c>
      <c r="B7" s="37" t="n">
        <v>46286</v>
      </c>
      <c r="C7" s="21" t="inlineStr">
        <is>
          <t>¿La extracción cita página correcta?</t>
        </is>
      </c>
      <c r="D7" s="21" t="inlineStr">
        <is>
          <t>Manuales extraídos y revisados</t>
        </is>
      </c>
      <c r="E7" s="22" t="n">
        <v>3</v>
      </c>
      <c r="F7" s="23" t="n"/>
      <c r="G7" s="38" t="n"/>
      <c r="H7" s="38" t="n"/>
      <c r="I7" s="38" t="n"/>
      <c r="J7" s="38" t="n"/>
      <c r="K7" s="38" t="n"/>
      <c r="L7" s="38" t="n"/>
      <c r="M7" s="38" t="n"/>
      <c r="N7" s="39">
        <f>IF(G7&gt;0,H7/G7,"")</f>
        <v/>
      </c>
      <c r="O7" s="39">
        <f>IF(H7&gt;0,I7/H7,"")</f>
        <v/>
      </c>
      <c r="P7" s="39">
        <f>IF(L7&gt;0,M7/L7,"")</f>
        <v/>
      </c>
    </row>
    <row r="8" ht="30" customHeight="1">
      <c r="A8" s="22" t="n">
        <v>4</v>
      </c>
      <c r="B8" s="37" t="n">
        <v>46293</v>
      </c>
      <c r="C8" s="21" t="inlineStr">
        <is>
          <t>¿Instalan el TestFlight?</t>
        </is>
      </c>
      <c r="D8" s="21" t="inlineStr">
        <is>
          <t>Testers iOS + Android opt-in</t>
        </is>
      </c>
      <c r="E8" s="22" t="n">
        <v>15</v>
      </c>
      <c r="F8" s="23" t="n"/>
      <c r="G8" s="38" t="n"/>
      <c r="H8" s="38" t="n"/>
      <c r="I8" s="38" t="n"/>
      <c r="J8" s="38" t="n"/>
      <c r="K8" s="38" t="n"/>
      <c r="L8" s="38" t="n"/>
      <c r="M8" s="38" t="n"/>
      <c r="N8" s="39">
        <f>IF(G8&gt;0,H8/G8,"")</f>
        <v/>
      </c>
      <c r="O8" s="39">
        <f>IF(H8&gt;0,I8/H8,"")</f>
        <v/>
      </c>
      <c r="P8" s="39">
        <f>IF(L8&gt;0,M8/L8,"")</f>
        <v/>
      </c>
    </row>
    <row r="9" ht="30" customHeight="1">
      <c r="A9" s="22" t="n">
        <v>5</v>
      </c>
      <c r="B9" s="37" t="n">
        <v>46300</v>
      </c>
      <c r="C9" s="21" t="inlineStr">
        <is>
          <t>¿Completan placa→plan solos?</t>
        </is>
      </c>
      <c r="D9" s="21" t="inlineStr">
        <is>
          <t>Pruebas de uso completadas</t>
        </is>
      </c>
      <c r="E9" s="22" t="n">
        <v>4</v>
      </c>
      <c r="F9" s="23" t="n"/>
      <c r="G9" s="38" t="n"/>
      <c r="H9" s="38" t="n"/>
      <c r="I9" s="38" t="n"/>
      <c r="J9" s="38" t="n"/>
      <c r="K9" s="38" t="n"/>
      <c r="L9" s="38" t="n"/>
      <c r="M9" s="38" t="n"/>
      <c r="N9" s="39">
        <f>IF(G9&gt;0,H9/G9,"")</f>
        <v/>
      </c>
      <c r="O9" s="39">
        <f>IF(H9&gt;0,I9/H9,"")</f>
        <v/>
      </c>
      <c r="P9" s="39">
        <f>IF(L9&gt;0,M9/L9,"")</f>
        <v/>
      </c>
    </row>
    <row r="10" ht="30" customHeight="1">
      <c r="A10" s="22" t="n">
        <v>6</v>
      </c>
      <c r="B10" s="37" t="n">
        <v>46307</v>
      </c>
      <c r="C10" s="21" t="inlineStr">
        <is>
          <t>¿Tech Week trae testers?</t>
        </is>
      </c>
      <c r="D10" s="21" t="inlineStr">
        <is>
          <t>Contactos nuevos con app instalada</t>
        </is>
      </c>
      <c r="E10" s="22" t="n">
        <v>5</v>
      </c>
      <c r="F10" s="23" t="n"/>
      <c r="G10" s="38" t="n"/>
      <c r="H10" s="38" t="n"/>
      <c r="I10" s="38" t="n"/>
      <c r="J10" s="38" t="n"/>
      <c r="K10" s="38" t="n"/>
      <c r="L10" s="38" t="n"/>
      <c r="M10" s="38" t="n"/>
      <c r="N10" s="39">
        <f>IF(G10&gt;0,H10/G10,"")</f>
        <v/>
      </c>
      <c r="O10" s="39">
        <f>IF(H10&gt;0,I10/H10,"")</f>
        <v/>
      </c>
      <c r="P10" s="39">
        <f>IF(L10&gt;0,M10/L10,"")</f>
        <v/>
      </c>
    </row>
    <row r="11" ht="30" customHeight="1">
      <c r="A11" s="22" t="n">
        <v>7</v>
      </c>
      <c r="B11" s="37" t="n">
        <v>46314</v>
      </c>
      <c r="C11" s="21" t="inlineStr">
        <is>
          <t>¿Está listo para enviar?</t>
        </is>
      </c>
      <c r="D11" s="21" t="inlineStr">
        <is>
          <t>Bugs bloqueantes abiertos</t>
        </is>
      </c>
      <c r="E11" s="22" t="n">
        <v>0</v>
      </c>
      <c r="F11" s="23" t="n"/>
      <c r="G11" s="38" t="n"/>
      <c r="H11" s="38" t="n"/>
      <c r="I11" s="38" t="n"/>
      <c r="J11" s="38" t="n"/>
      <c r="K11" s="38" t="n"/>
      <c r="L11" s="38" t="n"/>
      <c r="M11" s="38" t="n"/>
      <c r="N11" s="39">
        <f>IF(G11&gt;0,H11/G11,"")</f>
        <v/>
      </c>
      <c r="O11" s="39">
        <f>IF(H11&gt;0,I11/H11,"")</f>
        <v/>
      </c>
      <c r="P11" s="39">
        <f>IF(L11&gt;0,M11/L11,"")</f>
        <v/>
      </c>
    </row>
    <row r="12" ht="30" customHeight="1">
      <c r="A12" s="22" t="n">
        <v>8</v>
      </c>
      <c r="B12" s="37" t="n">
        <v>46321</v>
      </c>
      <c r="C12" s="21" t="inlineStr">
        <is>
          <t>¿Publicó?</t>
        </is>
      </c>
      <c r="D12" s="21" t="inlineStr">
        <is>
          <t>App en ambas tiendas (1=sí)</t>
        </is>
      </c>
      <c r="E12" s="22" t="n">
        <v>1</v>
      </c>
      <c r="F12" s="23" t="n"/>
      <c r="G12" s="22" t="n">
        <v>40</v>
      </c>
      <c r="H12" s="22" t="n">
        <v>25</v>
      </c>
      <c r="I12" s="22" t="n">
        <v>12</v>
      </c>
      <c r="J12" s="22" t="n">
        <v>10</v>
      </c>
      <c r="K12" s="22" t="n">
        <v>0</v>
      </c>
      <c r="L12" s="22" t="n">
        <v>0</v>
      </c>
      <c r="M12" s="22" t="n">
        <v>0</v>
      </c>
      <c r="N12" s="39">
        <f>IF(G12&gt;0,H12/G12,"")</f>
        <v/>
      </c>
      <c r="O12" s="39">
        <f>IF(H12&gt;0,I12/H12,"")</f>
        <v/>
      </c>
      <c r="P12" s="39">
        <f>IF(L12&gt;0,M12/L12,"")</f>
        <v/>
      </c>
    </row>
    <row r="13" ht="30" customHeight="1">
      <c r="A13" s="22" t="n">
        <v>9</v>
      </c>
      <c r="B13" s="37" t="n">
        <v>46328</v>
      </c>
      <c r="C13" s="21" t="inlineStr">
        <is>
          <t>¿Alguien desconocido escribe su placa?</t>
        </is>
      </c>
      <c r="D13" s="21" t="inlineStr">
        <is>
          <t>Placas de no-conocidos</t>
        </is>
      </c>
      <c r="E13" s="22" t="n">
        <v>20</v>
      </c>
      <c r="F13" s="23" t="n"/>
      <c r="G13" s="22" t="n">
        <v>120</v>
      </c>
      <c r="H13" s="22" t="n">
        <v>70</v>
      </c>
      <c r="I13" s="22" t="n">
        <v>35</v>
      </c>
      <c r="J13" s="22" t="n">
        <v>30</v>
      </c>
      <c r="K13" s="22" t="n">
        <v>5</v>
      </c>
      <c r="L13" s="22" t="n">
        <v>10</v>
      </c>
      <c r="M13" s="22" t="n">
        <v>0</v>
      </c>
      <c r="N13" s="39">
        <f>IF(G13&gt;0,H13/G13,"")</f>
        <v/>
      </c>
      <c r="O13" s="39">
        <f>IF(H13&gt;0,I13/H13,"")</f>
        <v/>
      </c>
      <c r="P13" s="39">
        <f>IF(L13&gt;0,M13/L13,"")</f>
        <v/>
      </c>
    </row>
    <row r="14" ht="30" customHeight="1">
      <c r="A14" s="22" t="n">
        <v>10</v>
      </c>
      <c r="B14" s="37" t="n">
        <v>46335</v>
      </c>
      <c r="C14" s="21" t="inlineStr">
        <is>
          <t>¿Suben el manual?</t>
        </is>
      </c>
      <c r="D14" s="21" t="inlineStr">
        <is>
          <t>Manuales subidos por desconocidos</t>
        </is>
      </c>
      <c r="E14" s="22" t="n">
        <v>10</v>
      </c>
      <c r="F14" s="23" t="n"/>
      <c r="G14" s="22" t="n">
        <v>220</v>
      </c>
      <c r="H14" s="22" t="n">
        <v>130</v>
      </c>
      <c r="I14" s="22" t="n">
        <v>65</v>
      </c>
      <c r="J14" s="22" t="n">
        <v>55</v>
      </c>
      <c r="K14" s="22" t="n">
        <v>15</v>
      </c>
      <c r="L14" s="22" t="n">
        <v>25</v>
      </c>
      <c r="M14" s="22" t="n">
        <v>2</v>
      </c>
      <c r="N14" s="39">
        <f>IF(G14&gt;0,H14/G14,"")</f>
        <v/>
      </c>
      <c r="O14" s="39">
        <f>IF(H14&gt;0,I14/H14,"")</f>
        <v/>
      </c>
      <c r="P14" s="39">
        <f>IF(L14&gt;0,M14/L14,"")</f>
        <v/>
      </c>
    </row>
    <row r="15" ht="30" customHeight="1">
      <c r="A15" s="22" t="n">
        <v>11</v>
      </c>
      <c r="B15" s="37" t="n">
        <v>46342</v>
      </c>
      <c r="C15" s="21" t="inlineStr">
        <is>
          <t>¿Actualizan km a los 14 días?</t>
        </is>
      </c>
      <c r="D15" s="21" t="inlineStr">
        <is>
          <t>Usuarios con 2.ª lectura de km</t>
        </is>
      </c>
      <c r="E15" s="22" t="n">
        <v>8</v>
      </c>
      <c r="F15" s="23" t="n"/>
      <c r="G15" s="22" t="n">
        <v>320</v>
      </c>
      <c r="H15" s="22" t="n">
        <v>190</v>
      </c>
      <c r="I15" s="22" t="n">
        <v>95</v>
      </c>
      <c r="J15" s="22" t="n">
        <v>80</v>
      </c>
      <c r="K15" s="22" t="n">
        <v>25</v>
      </c>
      <c r="L15" s="22" t="n">
        <v>40</v>
      </c>
      <c r="M15" s="22" t="n">
        <v>5</v>
      </c>
      <c r="N15" s="39">
        <f>IF(G15&gt;0,H15/G15,"")</f>
        <v/>
      </c>
      <c r="O15" s="39">
        <f>IF(H15&gt;0,I15/H15,"")</f>
        <v/>
      </c>
      <c r="P15" s="39">
        <f>IF(L15&gt;0,M15/L15,"")</f>
        <v/>
      </c>
    </row>
    <row r="16" ht="30" customHeight="1">
      <c r="A16" s="22" t="n">
        <v>12</v>
      </c>
      <c r="B16" s="37" t="n">
        <v>46349</v>
      </c>
      <c r="C16" s="21" t="inlineStr">
        <is>
          <t>¿Pagan al día 15?</t>
        </is>
      </c>
      <c r="D16" s="21" t="inlineStr">
        <is>
          <t>Suscripciones pagadas acumuladas</t>
        </is>
      </c>
      <c r="E16" s="22" t="n">
        <v>5</v>
      </c>
      <c r="F16" s="23" t="n"/>
      <c r="G16" s="22" t="n">
        <v>420</v>
      </c>
      <c r="H16" s="22" t="n">
        <v>250</v>
      </c>
      <c r="I16" s="22" t="n">
        <v>125</v>
      </c>
      <c r="J16" s="22" t="n">
        <v>105</v>
      </c>
      <c r="K16" s="22" t="n">
        <v>35</v>
      </c>
      <c r="L16" s="22" t="n">
        <v>55</v>
      </c>
      <c r="M16" s="22" t="n">
        <v>8</v>
      </c>
      <c r="N16" s="39">
        <f>IF(G16&gt;0,H16/G16,"")</f>
        <v/>
      </c>
      <c r="O16" s="39">
        <f>IF(H16&gt;0,I16/H16,"")</f>
        <v/>
      </c>
      <c r="P16" s="39">
        <f>IF(L16&gt;0,M16/L16,"")</f>
        <v/>
      </c>
    </row>
    <row r="17" ht="30" customHeight="1">
      <c r="A17" s="22" t="n">
        <v>13</v>
      </c>
      <c r="B17" s="37" t="n">
        <v>46356</v>
      </c>
      <c r="C17" s="21" t="inlineStr">
        <is>
          <t>¿Seguir, corregir o parar?</t>
        </is>
      </c>
      <c r="D17" s="21" t="inlineStr">
        <is>
          <t>Suscripciones pagadas acumuladas</t>
        </is>
      </c>
      <c r="E17" s="22" t="n">
        <v>10</v>
      </c>
      <c r="F17" s="23" t="n"/>
      <c r="G17" s="22" t="n">
        <v>520</v>
      </c>
      <c r="H17" s="22" t="n">
        <v>310</v>
      </c>
      <c r="I17" s="22" t="n">
        <v>155</v>
      </c>
      <c r="J17" s="22" t="n">
        <v>130</v>
      </c>
      <c r="K17" s="22" t="n">
        <v>45</v>
      </c>
      <c r="L17" s="22" t="n">
        <v>70</v>
      </c>
      <c r="M17" s="22" t="n">
        <v>10</v>
      </c>
      <c r="N17" s="39">
        <f>IF(G17&gt;0,H17/G17,"")</f>
        <v/>
      </c>
      <c r="O17" s="39">
        <f>IF(H17&gt;0,I17/H17,"")</f>
        <v/>
      </c>
      <c r="P17" s="39">
        <f>IF(L17&gt;0,M17/L17,"")</f>
        <v/>
      </c>
    </row>
    <row r="18" ht="30" customHeight="1">
      <c r="C18" s="40" t="inlineStr">
        <is>
          <t>Las columnas G–M desde la semana 8 son METAS ACUMULADAS desde la publicación (azul). Escribe el real al lado en tu copia o sobreescribe en azul y anota la fecha. Meta final: 20 pagos al día 60 (~25 dic), 10 al 6 dic.</t>
        </is>
      </c>
    </row>
    <row r="20">
      <c r="C20" s="3" t="inlineStr">
        <is>
          <t>Supuestos del embudo (edítalos):</t>
        </is>
      </c>
    </row>
    <row r="21">
      <c r="C21" s="41" t="inlineStr">
        <is>
          <t>Placa / instalación</t>
        </is>
      </c>
      <c r="E21" s="42" t="n">
        <v>0.6</v>
      </c>
      <c r="F21" s="20" t="inlineStr">
        <is>
          <t>Sin login, la placa es la primera pantalla</t>
        </is>
      </c>
    </row>
    <row r="22">
      <c r="C22" s="41" t="inlineStr">
        <is>
          <t>Manual / placa</t>
        </is>
      </c>
      <c r="E22" s="42" t="n">
        <v>0.5</v>
      </c>
      <c r="F22" s="20" t="inlineStr">
        <is>
          <t>Depende de E01. Si &lt;50% tiene PDF, la precarga sube esto</t>
        </is>
      </c>
    </row>
    <row r="23">
      <c r="C23" s="41" t="inlineStr">
        <is>
          <t>Km actualizado a 14 días / plan visto</t>
        </is>
      </c>
      <c r="E23" s="42" t="n">
        <v>0.35</v>
      </c>
      <c r="F23" s="20" t="inlineStr">
        <is>
          <t>La señal del hábito. Si baja de 25% el bloqueo del día 15 falla</t>
        </is>
      </c>
    </row>
    <row r="24">
      <c r="C24" s="41" t="inlineStr">
        <is>
          <t>Trial iniciado / plan visto</t>
        </is>
      </c>
      <c r="E24" s="42" t="n">
        <v>0.55</v>
      </c>
      <c r="F24" s="20" t="inlineStr">
        <is>
          <t>Trial automático al ver el plan</t>
        </is>
      </c>
    </row>
    <row r="25">
      <c r="C25" s="41" t="inlineStr">
        <is>
          <t>Pago / trial</t>
        </is>
      </c>
      <c r="E25" s="42" t="n">
        <v>0.15</v>
      </c>
      <c r="F25" s="20" t="inlineStr">
        <is>
          <t>NEGOCIO.md usa 12% de inicio de trial; 15% pago/trial es optimista para B2C LatAm</t>
        </is>
      </c>
    </row>
    <row r="26">
      <c r="C26" s="41" t="inlineStr">
        <is>
          <t>Instalaciones necesarias para 20 pagos</t>
        </is>
      </c>
      <c r="E26" s="43">
        <f>ROUNDUP(20/(E21*E22*E24*E25),0)</f>
        <v/>
      </c>
      <c r="F26" s="20" t="inlineStr"/>
    </row>
    <row r="27" ht="30" customHeight="1">
      <c r="C27" s="40" t="inlineStr">
        <is>
          <t>Lectura: con estos supuestos, 20 pagos exigen ~esa cantidad de instalaciones orgánicas en 60 días. Si el número te parece imposible sin publicidad, el problema es el embudo, no el contenido.</t>
        </is>
      </c>
    </row>
  </sheetData>
  <mergeCells count="8">
    <mergeCell ref="C18:P18"/>
    <mergeCell ref="C27:L27"/>
    <mergeCell ref="F22:L22"/>
    <mergeCell ref="F26:L26"/>
    <mergeCell ref="F21:L21"/>
    <mergeCell ref="F24:L24"/>
    <mergeCell ref="F25:L25"/>
    <mergeCell ref="F23:L23"/>
  </mergeCells>
  <pageMargins left="0.75" right="0.75" top="1" bottom="1" header="0.5" footer="0.5"/>
  <pageSetup orientation="landscape" fitToWidth="1"/>
</worksheet>
</file>

<file path=xl/worksheets/sheet9.xml><?xml version="1.0" encoding="utf-8"?>
<worksheet xmlns="http://schemas.openxmlformats.org/spreadsheetml/2006/main">
  <sheetPr>
    <outlinePr summaryBelow="1" summaryRight="1"/>
    <pageSetUpPr fitToPage="1"/>
  </sheetPr>
  <dimension ref="A1:H28"/>
  <sheetViews>
    <sheetView workbookViewId="0">
      <selection activeCell="A1" sqref="A1"/>
    </sheetView>
  </sheetViews>
  <sheetFormatPr baseColWidth="8" defaultRowHeight="15"/>
  <cols>
    <col width="44" customWidth="1" min="1" max="1"/>
    <col width="9" customWidth="1" min="2" max="2"/>
    <col width="10" customWidth="1" min="3" max="3"/>
    <col width="7" customWidth="1" min="4" max="4"/>
    <col width="13" customWidth="1" min="5" max="5"/>
    <col width="11" customWidth="1" min="6" max="6"/>
    <col width="8" customWidth="1" min="7" max="7"/>
    <col width="70" customWidth="1" min="8" max="8"/>
  </cols>
  <sheetData>
    <row r="1">
      <c r="A1" s="1" t="inlineStr">
        <is>
          <t>Presupuesto del trimestre</t>
        </is>
      </c>
    </row>
    <row r="2">
      <c r="A2" s="2" t="inlineStr">
        <is>
          <t>Lo único que cuesta dinero. Todo lo demás es tiempo. Tipo de cambio editable.</t>
        </is>
      </c>
    </row>
    <row r="4">
      <c r="A4" s="3" t="inlineStr">
        <is>
          <t>Tipo de cambio S/ por US$</t>
        </is>
      </c>
      <c r="B4" s="44" t="n">
        <v>3.75</v>
      </c>
      <c r="C4" s="20" t="inlineStr">
        <is>
          <t>Supuesto: referencia set 2026, ajústalo.</t>
        </is>
      </c>
    </row>
    <row r="6" ht="30" customHeight="1">
      <c r="A6" s="10" t="inlineStr">
        <is>
          <t>Concepto</t>
        </is>
      </c>
      <c r="B6" s="10" t="inlineStr">
        <is>
          <t>Moneda</t>
        </is>
      </c>
      <c r="C6" s="10" t="inlineStr">
        <is>
          <t>Monto</t>
        </is>
      </c>
      <c r="D6" s="10" t="inlineStr">
        <is>
          <t>Veces</t>
        </is>
      </c>
      <c r="E6" s="10" t="inlineStr">
        <is>
          <t>Total moneda</t>
        </is>
      </c>
      <c r="F6" s="10" t="inlineStr">
        <is>
          <t>Total S/</t>
        </is>
      </c>
      <c r="G6" s="10" t="inlineStr">
        <is>
          <t>Semana</t>
        </is>
      </c>
      <c r="H6" s="10" t="inlineStr">
        <is>
          <t>Nota / fuente</t>
        </is>
      </c>
    </row>
    <row r="7">
      <c r="A7" s="45" t="inlineStr">
        <is>
          <t>Apple Developer Program (anual)</t>
        </is>
      </c>
      <c r="B7" s="46" t="inlineStr">
        <is>
          <t>USD</t>
        </is>
      </c>
      <c r="C7" s="47" t="n">
        <v>99</v>
      </c>
      <c r="D7" s="46" t="n">
        <v>1</v>
      </c>
      <c r="E7" s="48">
        <f>C7*D7</f>
        <v/>
      </c>
      <c r="F7" s="48">
        <f>IF(B7="USD",E7*$B$4,E7)</f>
        <v/>
      </c>
      <c r="G7" s="46" t="n">
        <v>1</v>
      </c>
      <c r="H7" s="49" t="inlineStr">
        <is>
          <t>Obligatorio para publicar iOS. developer.apple.com/programs/enroll</t>
        </is>
      </c>
    </row>
    <row r="8">
      <c r="A8" s="45" t="inlineStr">
        <is>
          <t>Google Play Console (único)</t>
        </is>
      </c>
      <c r="B8" s="46" t="inlineStr">
        <is>
          <t>USD</t>
        </is>
      </c>
      <c r="C8" s="47" t="n">
        <v>25</v>
      </c>
      <c r="D8" s="46" t="n">
        <v>1</v>
      </c>
      <c r="E8" s="48">
        <f>C8*D8</f>
        <v/>
      </c>
      <c r="F8" s="48">
        <f>IF(B8="USD",E8*$B$4,E8)</f>
        <v/>
      </c>
      <c r="G8" s="46" t="n">
        <v>1</v>
      </c>
      <c r="H8" s="49" t="inlineStr">
        <is>
          <t>Pago único. play.google.com/console</t>
        </is>
      </c>
    </row>
    <row r="9">
      <c r="A9" s="45" t="inlineStr">
        <is>
          <t>EAS Build (plan gratuito)</t>
        </is>
      </c>
      <c r="B9" s="46" t="inlineStr">
        <is>
          <t>USD</t>
        </is>
      </c>
      <c r="C9" s="47" t="n">
        <v>0</v>
      </c>
      <c r="D9" s="46" t="n">
        <v>3</v>
      </c>
      <c r="E9" s="48">
        <f>C9*D9</f>
        <v/>
      </c>
      <c r="F9" s="48">
        <f>IF(B9="USD",E9*$B$4,E9)</f>
        <v/>
      </c>
      <c r="G9" s="46" t="n">
        <v>1</v>
      </c>
      <c r="H9" s="49" t="inlineStr">
        <is>
          <t>Free tier: builds limitados/mes. Si se acaban, plan Starter ~US$19/mes.</t>
        </is>
      </c>
    </row>
    <row r="10">
      <c r="A10" s="45" t="inlineStr">
        <is>
          <t>Backend (Vercel/Railway, hobby)</t>
        </is>
      </c>
      <c r="B10" s="46" t="inlineStr">
        <is>
          <t>USD</t>
        </is>
      </c>
      <c r="C10" s="47" t="n">
        <v>5</v>
      </c>
      <c r="D10" s="46" t="n">
        <v>3</v>
      </c>
      <c r="E10" s="48">
        <f>C10*D10</f>
        <v/>
      </c>
      <c r="F10" s="48">
        <f>IF(B10="USD",E10*$B$4,E10)</f>
        <v/>
      </c>
      <c r="G10" s="46" t="n">
        <v>1</v>
      </c>
      <c r="H10" s="49" t="inlineStr">
        <is>
          <t>Puede ser US$0 en free tier; se presupuesta US$5/mes por si acaso.</t>
        </is>
      </c>
    </row>
    <row r="11">
      <c r="A11" s="45" t="inlineStr">
        <is>
          <t>json.pe plan Básico (consultas de placa)</t>
        </is>
      </c>
      <c r="B11" s="46" t="inlineStr">
        <is>
          <t>PEN</t>
        </is>
      </c>
      <c r="C11" s="47" t="n">
        <v>30</v>
      </c>
      <c r="D11" s="46" t="n">
        <v>3</v>
      </c>
      <c r="E11" s="48">
        <f>C11*D11</f>
        <v/>
      </c>
      <c r="F11" s="48">
        <f>IF(B11="USD",E11*$B$4,E11)</f>
        <v/>
      </c>
      <c r="G11" s="46" t="n">
        <v>2</v>
      </c>
      <c r="H11" s="49" t="inlineStr">
        <is>
          <t>NEGOCIO.md: 500 consultas/mes ≈ S/4 de datos; el plan mínimo cuesta más que el uso. Verificar precio actual en json.pe.</t>
        </is>
      </c>
    </row>
    <row r="12">
      <c r="A12" s="45" t="inlineStr">
        <is>
          <t>LLM para extracción de manuales</t>
        </is>
      </c>
      <c r="B12" s="46" t="inlineStr">
        <is>
          <t>USD</t>
        </is>
      </c>
      <c r="C12" s="47" t="n">
        <v>0.8</v>
      </c>
      <c r="D12" s="46" t="n">
        <v>30</v>
      </c>
      <c r="E12" s="48">
        <f>C12*D12</f>
        <v/>
      </c>
      <c r="F12" s="48">
        <f>IF(B12="USD",E12*$B$4,E12)</f>
        <v/>
      </c>
      <c r="G12" s="46" t="n">
        <v>2</v>
      </c>
      <c r="H12" s="49" t="inlineStr">
        <is>
          <t>Supuesto: ~US$0,80 por manual de 300 páginas (entrada ~250k tokens). 30 manuales en el trimestre. Verificar con tu proveedor.</t>
        </is>
      </c>
    </row>
    <row r="13">
      <c r="A13" s="45" t="inlineStr">
        <is>
          <t>Dominio (fixly.pe o similar)</t>
        </is>
      </c>
      <c r="B13" s="46" t="inlineStr">
        <is>
          <t>USD</t>
        </is>
      </c>
      <c r="C13" s="47" t="n">
        <v>40</v>
      </c>
      <c r="D13" s="46" t="n">
        <v>1</v>
      </c>
      <c r="E13" s="48">
        <f>C13*D13</f>
        <v/>
      </c>
      <c r="F13" s="48">
        <f>IF(B13="USD",E13*$B$4,E13)</f>
        <v/>
      </c>
      <c r="G13" s="46" t="n">
        <v>5</v>
      </c>
      <c r="H13" s="49" t="inlineStr">
        <is>
          <t>Anual. Punto.pe o registrador equivalente.</t>
        </is>
      </c>
    </row>
    <row r="14">
      <c r="A14" s="45" t="inlineStr">
        <is>
          <t>2 Android de gama baja usados para QA</t>
        </is>
      </c>
      <c r="B14" s="46" t="inlineStr">
        <is>
          <t>PEN</t>
        </is>
      </c>
      <c r="C14" s="47" t="n">
        <v>350</v>
      </c>
      <c r="D14" s="46" t="n">
        <v>2</v>
      </c>
      <c r="E14" s="48">
        <f>C14*D14</f>
        <v/>
      </c>
      <c r="F14" s="48">
        <f>IF(B14="USD",E14*$B$4,E14)</f>
        <v/>
      </c>
      <c r="G14" s="46" t="n">
        <v>6</v>
      </c>
      <c r="H14" s="49" t="inlineStr">
        <is>
          <t>Samsung/Xiaomi de segunda: es el teléfono del usuario.</t>
        </is>
      </c>
    </row>
    <row r="15">
      <c r="A15" s="45" t="inlineStr">
        <is>
          <t>Stickers/QR para talleres (impresión)</t>
        </is>
      </c>
      <c r="B15" s="46" t="inlineStr">
        <is>
          <t>PEN</t>
        </is>
      </c>
      <c r="C15" s="47" t="n">
        <v>60</v>
      </c>
      <c r="D15" s="46" t="n">
        <v>1</v>
      </c>
      <c r="E15" s="48">
        <f>C15*D15</f>
        <v/>
      </c>
      <c r="F15" s="48">
        <f>IF(B15="USD",E15*$B$4,E15)</f>
        <v/>
      </c>
      <c r="G15" s="46" t="n">
        <v>9</v>
      </c>
      <c r="H15" s="49" t="inlineStr">
        <is>
          <t>20 unidades.</t>
        </is>
      </c>
    </row>
    <row r="16">
      <c r="A16" s="45" t="inlineStr">
        <is>
          <t>Entradas Peru Tech Week / meetups</t>
        </is>
      </c>
      <c r="B16" s="46" t="inlineStr">
        <is>
          <t>PEN</t>
        </is>
      </c>
      <c r="C16" s="47" t="n">
        <v>150</v>
      </c>
      <c r="D16" s="46" t="n">
        <v>1</v>
      </c>
      <c r="E16" s="48">
        <f>C16*D16</f>
        <v/>
      </c>
      <c r="F16" s="48">
        <f>IF(B16="USD",E16*$B$4,E16)</f>
        <v/>
      </c>
      <c r="G16" s="46" t="n">
        <v>6</v>
      </c>
      <c r="H16" s="49" t="inlineStr">
        <is>
          <t>Muchos side events son gratis; reserva por si hay uno pagado.</t>
        </is>
      </c>
    </row>
    <row r="17">
      <c r="A17" s="45" t="inlineStr">
        <is>
          <t>Cafés / pasajes para entrevistas y talleres</t>
        </is>
      </c>
      <c r="B17" s="46" t="inlineStr">
        <is>
          <t>PEN</t>
        </is>
      </c>
      <c r="C17" s="47" t="n">
        <v>15</v>
      </c>
      <c r="D17" s="46" t="n">
        <v>50</v>
      </c>
      <c r="E17" s="48">
        <f>C17*D17</f>
        <v/>
      </c>
      <c r="F17" s="48">
        <f>IF(B17="USD",E17*$B$4,E17)</f>
        <v/>
      </c>
      <c r="G17" s="46" t="n">
        <v>1</v>
      </c>
      <c r="H17" s="49" t="inlineStr">
        <is>
          <t>26 entrevistas + 18 talleres + margen.</t>
        </is>
      </c>
    </row>
    <row r="18">
      <c r="A18" s="45" t="inlineStr">
        <is>
          <t>Imprevistos (10%)</t>
        </is>
      </c>
      <c r="B18" s="46" t="inlineStr">
        <is>
          <t>PEN</t>
        </is>
      </c>
      <c r="C18" s="48">
        <f>SUM(F7:F17)*0.1</f>
        <v/>
      </c>
      <c r="D18" s="46" t="n">
        <v>1</v>
      </c>
      <c r="E18" s="48">
        <f>C18*D18</f>
        <v/>
      </c>
      <c r="F18" s="48">
        <f>IF(B18="USD",E18*$B$4,E18)</f>
        <v/>
      </c>
      <c r="G18" s="46" t="n">
        <v>1</v>
      </c>
      <c r="H18" s="49" t="inlineStr">
        <is>
          <t>Fórmula sobre el subtotal.</t>
        </is>
      </c>
    </row>
    <row r="20">
      <c r="E20" s="3" t="inlineStr">
        <is>
          <t>TOTAL S/</t>
        </is>
      </c>
      <c r="F20" s="50">
        <f>SUM(F7:F18)</f>
        <v/>
      </c>
    </row>
    <row r="21">
      <c r="E21" s="3" t="inlineStr">
        <is>
          <t>TOTAL US$</t>
        </is>
      </c>
      <c r="F21" s="43">
        <f>F20/$B$4</f>
        <v/>
      </c>
    </row>
    <row r="23">
      <c r="A23" s="3" t="inlineStr">
        <is>
          <t>Ingreso neto por suscripción</t>
        </is>
      </c>
    </row>
    <row r="24">
      <c r="A24" t="inlineStr">
        <is>
          <t>Precio mensual S/</t>
        </is>
      </c>
      <c r="C24" s="44" t="n">
        <v>14.9</v>
      </c>
    </row>
    <row r="25">
      <c r="A25" t="inlineStr">
        <is>
          <t>Comisión tienda (Small Business Program)</t>
        </is>
      </c>
      <c r="C25" s="42" t="n">
        <v>0.15</v>
      </c>
    </row>
    <row r="26">
      <c r="A26" t="inlineStr">
        <is>
          <t>Neto por suscriptor / mes S/</t>
        </is>
      </c>
      <c r="C26" s="51">
        <f>C24*(1-C25)</f>
        <v/>
      </c>
    </row>
    <row r="27">
      <c r="A27" t="inlineStr">
        <is>
          <t>Suscriptores para cubrir el presupuesto del trimestre en 3 meses</t>
        </is>
      </c>
      <c r="C27" s="24">
        <f>ROUNDUP(F20/(C26*3),0)</f>
        <v/>
      </c>
    </row>
    <row r="28" ht="30" customHeight="1">
      <c r="A28" s="40" t="inlineStr">
        <is>
          <t>Nota: Apple y Google cobran el 15% en el programa de pequeños negocios (&lt;US$1M/año). Perú aplica IGV 18% sobre el precio en tienda; verifica si el precio S/14,90 es con o sin impuesto en App Store Connect.</t>
        </is>
      </c>
    </row>
  </sheetData>
  <mergeCells count="1">
    <mergeCell ref="A28:H28"/>
  </mergeCells>
  <pageMargins left="0.75" right="0.75" top="1" bottom="1" header="0.5" footer="0.5"/>
  <pageSetup orientation="landscape" fitToWidth="1"/>
</worksheet>
</file>

<file path=xl/worksheets/sheet10.xml><?xml version="1.0" encoding="utf-8"?>
<worksheet xmlns="http://schemas.openxmlformats.org/spreadsheetml/2006/main">
  <sheetPr>
    <outlinePr summaryBelow="1" summaryRight="1"/>
    <pageSetUpPr fitToPage="1"/>
  </sheetPr>
  <dimension ref="A1:H14"/>
  <sheetViews>
    <sheetView workbookViewId="0">
      <pane ySplit="4" topLeftCell="A5" activePane="bottomLeft" state="frozen"/>
      <selection pane="bottomLeft" activeCell="A1" sqref="A1"/>
    </sheetView>
  </sheetViews>
  <sheetFormatPr baseColWidth="8" defaultRowHeight="15"/>
  <cols>
    <col width="4" customWidth="1" min="1" max="1"/>
    <col width="36" customWidth="1" min="2" max="2"/>
    <col width="12" customWidth="1" min="3" max="3"/>
    <col width="30" customWidth="1" min="4" max="4"/>
    <col width="34" customWidth="1" min="5" max="5"/>
    <col width="10" customWidth="1" min="6" max="6"/>
    <col width="60" customWidth="1" min="7" max="7"/>
    <col width="10" customWidth="1" min="8" max="8"/>
  </cols>
  <sheetData>
    <row r="1">
      <c r="A1" s="1" t="inlineStr">
        <is>
          <t>Riesgos y señales de alerta</t>
        </is>
      </c>
    </row>
    <row r="2">
      <c r="A2" s="2" t="inlineStr">
        <is>
          <t>Ordenados por lo que más daño hace. Cada uno tiene una semana en la que ya deberías saber si pasó.</t>
        </is>
      </c>
    </row>
    <row r="4" ht="30" customHeight="1">
      <c r="A4" s="10" t="inlineStr">
        <is>
          <t>#</t>
        </is>
      </c>
      <c r="B4" s="10" t="inlineStr">
        <is>
          <t>Riesgo</t>
        </is>
      </c>
      <c r="C4" s="10" t="inlineStr">
        <is>
          <t>Probabilidad</t>
        </is>
      </c>
      <c r="D4" s="10" t="inlineStr">
        <is>
          <t>Impacto</t>
        </is>
      </c>
      <c r="E4" s="10" t="inlineStr">
        <is>
          <t>Señal de que está pasando</t>
        </is>
      </c>
      <c r="F4" s="10" t="inlineStr">
        <is>
          <t>Semana en que lo sabes</t>
        </is>
      </c>
      <c r="G4" s="10" t="inlineStr">
        <is>
          <t>Qué haces</t>
        </is>
      </c>
      <c r="H4" s="10" t="inlineStr">
        <is>
          <t>Estado</t>
        </is>
      </c>
    </row>
    <row r="5" ht="64" customHeight="1">
      <c r="A5" s="21" t="n">
        <v>1</v>
      </c>
      <c r="B5" s="21" t="inlineStr">
        <is>
          <t>El joven NO tiene el manual en PDF</t>
        </is>
      </c>
      <c r="C5" s="21" t="inlineStr">
        <is>
          <t>Alta</t>
        </is>
      </c>
      <c r="D5" s="21" t="inlineStr">
        <is>
          <t>Crítico: la puerta de entrada no existe</t>
        </is>
      </c>
      <c r="E5" s="21" t="inlineStr">
        <is>
          <t>&lt;50% en ronda 1 lo tiene; nadie lo manda por WhatsApp</t>
        </is>
      </c>
      <c r="F5" s="22" t="n">
        <v>2</v>
      </c>
      <c r="G5" s="21" t="inlineStr">
        <is>
          <t>Precarga de 10 modelos pasa a puerta principal (P08 en S3, no S5). 'Elige tu modelo' antes que 'sube tu PDF'.</t>
        </is>
      </c>
      <c r="H5" s="28" t="inlineStr">
        <is>
          <t>Abierto</t>
        </is>
      </c>
    </row>
    <row r="6" ht="64" customHeight="1">
      <c r="A6" s="21" t="n">
        <v>2</v>
      </c>
      <c r="B6" s="21" t="inlineStr">
        <is>
          <t>Apple tarda semanas en aprobar la cuenta</t>
        </is>
      </c>
      <c r="C6" s="21" t="inlineStr">
        <is>
          <t>Media</t>
        </is>
      </c>
      <c r="D6" s="21" t="inlineStr">
        <is>
          <t>Alto: sin TestFlight ni publicación iOS</t>
        </is>
      </c>
      <c r="E6" s="21" t="inlineStr">
        <is>
          <t>Estado 'Pending' &gt;7 días</t>
        </is>
      </c>
      <c r="F6" s="22" t="n">
        <v>2</v>
      </c>
      <c r="G6" s="21" t="inlineStr">
        <is>
          <t>Escalar por developer.apple.com/contact el día 8. Seguir con Android como plataforma principal de pruebas; publicar Android primero si Apple no llega a S8.</t>
        </is>
      </c>
      <c r="H6" s="28" t="inlineStr">
        <is>
          <t>Abierto</t>
        </is>
      </c>
    </row>
    <row r="7" ht="64" customHeight="1">
      <c r="A7" s="21" t="n">
        <v>3</v>
      </c>
      <c r="B7" s="21" t="inlineStr">
        <is>
          <t>No juntas 12 testers de Android con uso real 14 días</t>
        </is>
      </c>
      <c r="C7" s="21" t="inlineStr">
        <is>
          <t>Media</t>
        </is>
      </c>
      <c r="D7" s="21" t="inlineStr">
        <is>
          <t>Alto: Google no deja publicar</t>
        </is>
      </c>
      <c r="E7" s="21" t="inlineStr">
        <is>
          <t>Menos de 12 opt-in al final de S5</t>
        </is>
      </c>
      <c r="F7" s="22" t="n">
        <v>5</v>
      </c>
      <c r="G7" s="21" t="inlineStr">
        <is>
          <t>Reclutar 15–18 desde S4 (grupos de FB, entrevistados, r/PERU). Recordatorio 2 veces por semana. Si la cuenta es de organización, no aplica.</t>
        </is>
      </c>
      <c r="H7" s="28" t="inlineStr">
        <is>
          <t>Abierto</t>
        </is>
      </c>
    </row>
    <row r="8" ht="64" customHeight="1">
      <c r="A8" s="21" t="n">
        <v>4</v>
      </c>
      <c r="B8" s="21" t="inlineStr">
        <is>
          <t>La extracción del manual se equivoca en intervalos</t>
        </is>
      </c>
      <c r="C8" s="21" t="inlineStr">
        <is>
          <t>Media</t>
        </is>
      </c>
      <c r="D8" s="21" t="inlineStr">
        <is>
          <t>Crítico: un intervalo mal puede fundir un motor con tu nombre</t>
        </is>
      </c>
      <c r="E8" s="21" t="inlineStr">
        <is>
          <t>Revisión manual encuentra &gt;1 error por manual</t>
        </is>
      </c>
      <c r="F8" s="22" t="n">
        <v>3</v>
      </c>
      <c r="G8" s="21" t="inlineStr">
        <is>
          <t>Nada sale sin revisión tuya con página citada. Mostrar la página del manual en servicio/[id]. Disclaimer visible.</t>
        </is>
      </c>
      <c r="H8" s="28" t="inlineStr">
        <is>
          <t>Abierto</t>
        </is>
      </c>
    </row>
    <row r="9" ht="64" customHeight="1">
      <c r="A9" s="21" t="n">
        <v>5</v>
      </c>
      <c r="B9" s="21" t="inlineStr">
        <is>
          <t>El bloqueo total del día 15 produce desinstalaciones, no pagos</t>
        </is>
      </c>
      <c r="C9" s="21" t="inlineStr">
        <is>
          <t>Alta</t>
        </is>
      </c>
      <c r="D9" s="21" t="inlineStr">
        <is>
          <t>Alto: la tesis de ingresos no se prueba</t>
        </is>
      </c>
      <c r="E9" s="21" t="inlineStr">
        <is>
          <t>Pago/trial &lt;5% en S11–12; ronda 3 dice 'me lo quitaron'</t>
        </is>
      </c>
      <c r="F9" s="22" t="n">
        <v>12</v>
      </c>
      <c r="G9" s="21" t="inlineStr">
        <is>
          <t>v1.1: bloquear solo avisos y registrar, dejar plan visible; o trial por uso (3 servicios). Decidir con E03, no antes.</t>
        </is>
      </c>
      <c r="H9" s="28" t="inlineStr">
        <is>
          <t>Abierto</t>
        </is>
      </c>
    </row>
    <row r="10" ht="64" customHeight="1">
      <c r="A10" s="21" t="n">
        <v>6</v>
      </c>
      <c r="B10" s="21" t="inlineStr">
        <is>
          <t>Nadie desconocido escribe su placa (el canal no funciona)</t>
        </is>
      </c>
      <c r="C10" s="21" t="inlineStr">
        <is>
          <t>Alta</t>
        </is>
      </c>
      <c r="D10" s="21" t="inlineStr">
        <is>
          <t>Crítico: NEGOCIO.md dice que este es el riesgo #1</t>
        </is>
      </c>
      <c r="E10" s="21" t="inlineStr">
        <is>
          <t>&lt;20 placas de desconocidos en S9</t>
        </is>
      </c>
      <c r="F10" s="22" t="n">
        <v>9</v>
      </c>
      <c r="G10" s="21" t="inlineStr">
        <is>
          <t>Duplicar TikTok a un modelo por día; capturas en grupos de FB; QR en talleres antes (S9→S8). Si en S11 sigue &lt;50, el canal orgánico solo no alcanza.</t>
        </is>
      </c>
      <c r="H10" s="28" t="inlineStr">
        <is>
          <t>Abierto</t>
        </is>
      </c>
    </row>
    <row r="11" ht="64" customHeight="1">
      <c r="A11" s="21" t="n">
        <v>7</v>
      </c>
      <c r="B11" s="21" t="inlineStr">
        <is>
          <t>Se te van más de 45 h/semana y se cae contenido o entrevistas</t>
        </is>
      </c>
      <c r="C11" s="21" t="inlineStr">
        <is>
          <t>Alta</t>
        </is>
      </c>
      <c r="D11" s="21" t="inlineStr">
        <is>
          <t>Medio: el producto sale pero sin nadie que lo vea</t>
        </is>
      </c>
      <c r="E11" s="21" t="inlineStr">
        <is>
          <t>Fila 'Horas por semana' en rojo en Cronograma</t>
        </is>
      </c>
      <c r="F11" s="22" t="n">
        <v>1</v>
      </c>
      <c r="G11" s="21" t="inlineStr">
        <is>
          <t>Lo que se recorta es producto (P09, P10), nunca entrevistas ni contenido. El contenido es la adquisición.</t>
        </is>
      </c>
      <c r="H11" s="28" t="inlineStr">
        <is>
          <t>Abierto</t>
        </is>
      </c>
    </row>
    <row r="12" ht="64" customHeight="1">
      <c r="A12" s="21" t="n">
        <v>8</v>
      </c>
      <c r="B12" s="21" t="inlineStr">
        <is>
          <t>json.pe cambia precio, límite o deja de responder</t>
        </is>
      </c>
      <c r="C12" s="21" t="inlineStr">
        <is>
          <t>Baja</t>
        </is>
      </c>
      <c r="D12" s="21" t="inlineStr">
        <is>
          <t>Medio: la placa no rellena</t>
        </is>
      </c>
      <c r="E12" s="21" t="inlineStr">
        <is>
          <t>Errores 5xx o alerta de créditos agotados</t>
        </is>
      </c>
      <c r="F12" s="22" t="n">
        <v>2</v>
      </c>
      <c r="G12" s="21" t="inlineStr">
        <is>
          <t>Formulario manual como respaldo (marca/modelo/año) desde el día 1. Alerta de consumo de créditos.</t>
        </is>
      </c>
      <c r="H12" s="28" t="inlineStr">
        <is>
          <t>Abierto</t>
        </is>
      </c>
    </row>
    <row r="13" ht="64" customHeight="1">
      <c r="A13" s="21" t="n">
        <v>9</v>
      </c>
      <c r="B13" s="21" t="inlineStr">
        <is>
          <t>Apple rechaza la app (guideline 3.1 suscripciones, 5.1 privacidad)</t>
        </is>
      </c>
      <c r="C13" s="21" t="inlineStr">
        <is>
          <t>Media</t>
        </is>
      </c>
      <c r="D13" s="21" t="inlineStr">
        <is>
          <t>Medio: 1–2 semanas de retraso</t>
        </is>
      </c>
      <c r="E13" s="21" t="inlineStr">
        <is>
          <t>Rechazo en S7</t>
        </is>
      </c>
      <c r="F13" s="22" t="n">
        <v>7</v>
      </c>
      <c r="G13" s="21" t="inlineStr">
        <is>
          <t>Términos y política visibles antes de suscribir; texto de precio y renovación exacto en el paywall; botón de restaurar compras. Responder el mismo día.</t>
        </is>
      </c>
      <c r="H13" s="28" t="inlineStr">
        <is>
          <t>Abierto</t>
        </is>
      </c>
    </row>
    <row r="14" ht="64" customHeight="1">
      <c r="A14" s="21" t="n">
        <v>10</v>
      </c>
      <c r="B14" s="21" t="inlineStr">
        <is>
          <t>Un taller o usuario reclama por un consejo de la app</t>
        </is>
      </c>
      <c r="C14" s="21" t="inlineStr">
        <is>
          <t>Baja</t>
        </is>
      </c>
      <c r="D14" s="21" t="inlineStr">
        <is>
          <t>Alto: legal/reputación</t>
        </is>
      </c>
      <c r="E14" s="21" t="inlineStr">
        <is>
          <t>Mensaje o reseña de 1 estrella con ese motivo</t>
        </is>
      </c>
      <c r="F14" s="22" t="n">
        <v>9</v>
      </c>
      <c r="G14" s="21" t="inlineStr">
        <is>
          <t>Copy: 'según el manual del fabricante, página X'. Nunca 'nosotros recomendamos'. Términos con límite de responsabilidad.</t>
        </is>
      </c>
      <c r="H14" s="28" t="inlineStr">
        <is>
          <t>Abierto</t>
        </is>
      </c>
    </row>
  </sheetData>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2026-09-06T16:05:31Z</dcterms:created>
  <dcterms:modified xsi:type="dcterms:W3CDTF">2026-09-06T16:05:31Z</dcterms:modified>
</cp:coreProperties>
</file>